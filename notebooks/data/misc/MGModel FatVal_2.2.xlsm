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iana\Dropbox\PC\Documents\artigo Fatval\"/>
    </mc:Choice>
  </mc:AlternateContent>
  <bookViews>
    <workbookView xWindow="-15" yWindow="225" windowWidth="9720" windowHeight="11775" firstSheet="17" activeTab="19"/>
  </bookViews>
  <sheets>
    <sheet name="183" sheetId="121" r:id="rId1"/>
    <sheet name="ERROS_183" sheetId="122" r:id="rId2"/>
    <sheet name="1202" sheetId="78" r:id="rId3"/>
    <sheet name="ERROS_1202" sheetId="80" r:id="rId4"/>
    <sheet name="1239" sheetId="111" r:id="rId5"/>
    <sheet name="ERROS_1239" sheetId="112" r:id="rId6"/>
    <sheet name="1255" sheetId="123" r:id="rId7"/>
    <sheet name="ERROS_1255" sheetId="124" r:id="rId8"/>
    <sheet name="1257" sheetId="125" r:id="rId9"/>
    <sheet name="ERROS_1257" sheetId="126" r:id="rId10"/>
    <sheet name="1257 (2)" sheetId="127" r:id="rId11"/>
    <sheet name="ERROS_1257 (2)" sheetId="128" r:id="rId12"/>
    <sheet name="1257 (4)" sheetId="130" r:id="rId13"/>
    <sheet name="ERROS_1257 (3)" sheetId="131" r:id="rId14"/>
    <sheet name="1257 (3)" sheetId="129" r:id="rId15"/>
    <sheet name="183 (Opt)" sheetId="132" r:id="rId16"/>
    <sheet name="ERROS_183 (Opt)" sheetId="133" r:id="rId17"/>
    <sheet name="1309 (Opt)" sheetId="134" r:id="rId18"/>
    <sheet name="ERROS_1309 (Opt)" sheetId="135" r:id="rId19"/>
    <sheet name="1303 (Opt)" sheetId="136" r:id="rId20"/>
    <sheet name="ERROS_1303 (Opt)" sheetId="137" r:id="rId21"/>
    <sheet name="1290 (Opt)" sheetId="138" r:id="rId22"/>
    <sheet name="ERROS_1209 (Opt)" sheetId="139" r:id="rId23"/>
    <sheet name="1255 (Opt)" sheetId="140" r:id="rId24"/>
    <sheet name="ERROS_1255 (Opt)" sheetId="141" r:id="rId25"/>
    <sheet name="1257 (Opt)" sheetId="142" r:id="rId26"/>
    <sheet name="ERROS_1257 (Opt)" sheetId="143" r:id="rId27"/>
    <sheet name="Fernandez-Moya" sheetId="144" r:id="rId28"/>
    <sheet name="ERROS_Fernandez-Moya" sheetId="145" r:id="rId29"/>
  </sheets>
  <functionGroups builtInGroupCount="18"/>
  <definedNames>
    <definedName name="m" localSheetId="2">#REF!</definedName>
    <definedName name="m" localSheetId="4">#REF!</definedName>
    <definedName name="m" localSheetId="6">#REF!</definedName>
    <definedName name="m" localSheetId="23">#REF!</definedName>
    <definedName name="m" localSheetId="8">#REF!</definedName>
    <definedName name="m" localSheetId="10">#REF!</definedName>
    <definedName name="m" localSheetId="14">#REF!</definedName>
    <definedName name="m" localSheetId="12">#REF!</definedName>
    <definedName name="m" localSheetId="25">#REF!</definedName>
    <definedName name="m" localSheetId="21">#REF!</definedName>
    <definedName name="m" localSheetId="19">#REF!</definedName>
    <definedName name="m" localSheetId="17">#REF!</definedName>
    <definedName name="m" localSheetId="0">#REF!</definedName>
    <definedName name="m" localSheetId="15">#REF!</definedName>
    <definedName name="m" localSheetId="3">#REF!</definedName>
    <definedName name="m" localSheetId="22">#REF!</definedName>
    <definedName name="m" localSheetId="5">#REF!</definedName>
    <definedName name="m" localSheetId="7">#REF!</definedName>
    <definedName name="m" localSheetId="24">#REF!</definedName>
    <definedName name="m" localSheetId="9">#REF!</definedName>
    <definedName name="m" localSheetId="11">#REF!</definedName>
    <definedName name="m" localSheetId="13">#REF!</definedName>
    <definedName name="m" localSheetId="26">#REF!</definedName>
    <definedName name="m" localSheetId="20">#REF!</definedName>
    <definedName name="m" localSheetId="18">#REF!</definedName>
    <definedName name="m" localSheetId="1">#REF!</definedName>
    <definedName name="m" localSheetId="16">#REF!</definedName>
    <definedName name="m" localSheetId="28">#REF!</definedName>
    <definedName name="m" localSheetId="27">#REF!</definedName>
    <definedName name="m">#REF!</definedName>
    <definedName name="metros" localSheetId="2">'1202'!#REF!</definedName>
    <definedName name="metros" localSheetId="4">'1239'!#REF!</definedName>
    <definedName name="metros" localSheetId="6">'1255'!#REF!</definedName>
    <definedName name="metros" localSheetId="23">'1255 (Opt)'!#REF!</definedName>
    <definedName name="metros" localSheetId="8">'1257'!#REF!</definedName>
    <definedName name="metros" localSheetId="10">'1257 (2)'!#REF!</definedName>
    <definedName name="metros" localSheetId="14">'1257 (3)'!#REF!</definedName>
    <definedName name="metros" localSheetId="12">'1257 (4)'!#REF!</definedName>
    <definedName name="metros" localSheetId="25">'1257 (Opt)'!#REF!</definedName>
    <definedName name="metros" localSheetId="21">'1290 (Opt)'!#REF!</definedName>
    <definedName name="metros" localSheetId="19">'1303 (Opt)'!#REF!</definedName>
    <definedName name="metros" localSheetId="17">'1309 (Opt)'!#REF!</definedName>
    <definedName name="metros" localSheetId="0">'183'!#REF!</definedName>
    <definedName name="metros" localSheetId="15">'183 (Opt)'!#REF!</definedName>
    <definedName name="metros" localSheetId="3">#REF!</definedName>
    <definedName name="metros" localSheetId="22">#REF!</definedName>
    <definedName name="metros" localSheetId="5">#REF!</definedName>
    <definedName name="metros" localSheetId="7">#REF!</definedName>
    <definedName name="metros" localSheetId="24">#REF!</definedName>
    <definedName name="metros" localSheetId="9">#REF!</definedName>
    <definedName name="metros" localSheetId="11">#REF!</definedName>
    <definedName name="metros" localSheetId="13">#REF!</definedName>
    <definedName name="metros" localSheetId="26">#REF!</definedName>
    <definedName name="metros" localSheetId="20">#REF!</definedName>
    <definedName name="metros" localSheetId="18">#REF!</definedName>
    <definedName name="metros" localSheetId="1">#REF!</definedName>
    <definedName name="metros" localSheetId="16">#REF!</definedName>
    <definedName name="metros" localSheetId="28">#REF!</definedName>
    <definedName name="metros" localSheetId="27">'Fernandez-Moya'!#REF!</definedName>
    <definedName name="metros">#REF!</definedName>
    <definedName name="solver_adj" localSheetId="2" hidden="1">'1202'!$D$11:$D$13</definedName>
    <definedName name="solver_adj" localSheetId="4" hidden="1">'1239'!$D$11:$D$13</definedName>
    <definedName name="solver_adj" localSheetId="6" hidden="1">'1255'!$D$11:$D$13</definedName>
    <definedName name="solver_adj" localSheetId="23" hidden="1">'1255 (Opt)'!$D$11:$D$13</definedName>
    <definedName name="solver_adj" localSheetId="8" hidden="1">'1257'!$D$11:$D$13</definedName>
    <definedName name="solver_adj" localSheetId="10" hidden="1">'1257 (2)'!$D$11:$D$13</definedName>
    <definedName name="solver_adj" localSheetId="14" hidden="1">'1257 (3)'!$D$11:$D$13</definedName>
    <definedName name="solver_adj" localSheetId="12" hidden="1">'1257 (4)'!$D$11:$D$13</definedName>
    <definedName name="solver_adj" localSheetId="25" hidden="1">'1257 (Opt)'!$D$11:$D$13</definedName>
    <definedName name="solver_adj" localSheetId="21" hidden="1">'1290 (Opt)'!$D$11:$D$13</definedName>
    <definedName name="solver_adj" localSheetId="19" hidden="1">'1303 (Opt)'!$D$11:$D$13</definedName>
    <definedName name="solver_adj" localSheetId="17" hidden="1">'1309 (Opt)'!$D$11:$D$13</definedName>
    <definedName name="solver_adj" localSheetId="0" hidden="1">'183'!$D$11:$D$13</definedName>
    <definedName name="solver_adj" localSheetId="15" hidden="1">'183 (Opt)'!$D$11:$D$13</definedName>
    <definedName name="solver_adj" localSheetId="27" hidden="1">'Fernandez-Moya'!$D$11:$D$13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23" hidden="1">0.0001</definedName>
    <definedName name="solver_cvg" localSheetId="8" hidden="1">0.0001</definedName>
    <definedName name="solver_cvg" localSheetId="10" hidden="1">0.0001</definedName>
    <definedName name="solver_cvg" localSheetId="14" hidden="1">0.0001</definedName>
    <definedName name="solver_cvg" localSheetId="12" hidden="1">0.0001</definedName>
    <definedName name="solver_cvg" localSheetId="25" hidden="1">0.0001</definedName>
    <definedName name="solver_cvg" localSheetId="21" hidden="1">0.0001</definedName>
    <definedName name="solver_cvg" localSheetId="19" hidden="1">0.0001</definedName>
    <definedName name="solver_cvg" localSheetId="17" hidden="1">0.0001</definedName>
    <definedName name="solver_cvg" localSheetId="0" hidden="1">0.0001</definedName>
    <definedName name="solver_cvg" localSheetId="15" hidden="1">0.0001</definedName>
    <definedName name="solver_cvg" localSheetId="27" hidden="1">0.0001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23" hidden="1">1</definedName>
    <definedName name="solver_drv" localSheetId="8" hidden="1">1</definedName>
    <definedName name="solver_drv" localSheetId="10" hidden="1">1</definedName>
    <definedName name="solver_drv" localSheetId="14" hidden="1">1</definedName>
    <definedName name="solver_drv" localSheetId="12" hidden="1">1</definedName>
    <definedName name="solver_drv" localSheetId="25" hidden="1">1</definedName>
    <definedName name="solver_drv" localSheetId="21" hidden="1">1</definedName>
    <definedName name="solver_drv" localSheetId="19" hidden="1">1</definedName>
    <definedName name="solver_drv" localSheetId="17" hidden="1">1</definedName>
    <definedName name="solver_drv" localSheetId="0" hidden="1">1</definedName>
    <definedName name="solver_drv" localSheetId="15" hidden="1">1</definedName>
    <definedName name="solver_drv" localSheetId="27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23" hidden="1">1</definedName>
    <definedName name="solver_eng" localSheetId="8" hidden="1">1</definedName>
    <definedName name="solver_eng" localSheetId="10" hidden="1">1</definedName>
    <definedName name="solver_eng" localSheetId="14" hidden="1">1</definedName>
    <definedName name="solver_eng" localSheetId="12" hidden="1">1</definedName>
    <definedName name="solver_eng" localSheetId="25" hidden="1">1</definedName>
    <definedName name="solver_eng" localSheetId="21" hidden="1">1</definedName>
    <definedName name="solver_eng" localSheetId="19" hidden="1">1</definedName>
    <definedName name="solver_eng" localSheetId="17" hidden="1">1</definedName>
    <definedName name="solver_eng" localSheetId="0" hidden="1">1</definedName>
    <definedName name="solver_eng" localSheetId="15" hidden="1">1</definedName>
    <definedName name="solver_eng" localSheetId="27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23" hidden="1">1</definedName>
    <definedName name="solver_est" localSheetId="8" hidden="1">1</definedName>
    <definedName name="solver_est" localSheetId="10" hidden="1">1</definedName>
    <definedName name="solver_est" localSheetId="14" hidden="1">1</definedName>
    <definedName name="solver_est" localSheetId="12" hidden="1">1</definedName>
    <definedName name="solver_est" localSheetId="25" hidden="1">1</definedName>
    <definedName name="solver_est" localSheetId="21" hidden="1">1</definedName>
    <definedName name="solver_est" localSheetId="19" hidden="1">1</definedName>
    <definedName name="solver_est" localSheetId="17" hidden="1">1</definedName>
    <definedName name="solver_est" localSheetId="0" hidden="1">1</definedName>
    <definedName name="solver_est" localSheetId="15" hidden="1">1</definedName>
    <definedName name="solver_est" localSheetId="27" hidden="1">1</definedName>
    <definedName name="solver_itr" localSheetId="2" hidden="1">100</definedName>
    <definedName name="solver_itr" localSheetId="4" hidden="1">100</definedName>
    <definedName name="solver_itr" localSheetId="6" hidden="1">100</definedName>
    <definedName name="solver_itr" localSheetId="23" hidden="1">100</definedName>
    <definedName name="solver_itr" localSheetId="8" hidden="1">100</definedName>
    <definedName name="solver_itr" localSheetId="10" hidden="1">100</definedName>
    <definedName name="solver_itr" localSheetId="14" hidden="1">100</definedName>
    <definedName name="solver_itr" localSheetId="12" hidden="1">100</definedName>
    <definedName name="solver_itr" localSheetId="25" hidden="1">100</definedName>
    <definedName name="solver_itr" localSheetId="21" hidden="1">100</definedName>
    <definedName name="solver_itr" localSheetId="19" hidden="1">100</definedName>
    <definedName name="solver_itr" localSheetId="17" hidden="1">100</definedName>
    <definedName name="solver_itr" localSheetId="0" hidden="1">100</definedName>
    <definedName name="solver_itr" localSheetId="15" hidden="1">100</definedName>
    <definedName name="solver_itr" localSheetId="27" hidden="1">100</definedName>
    <definedName name="solver_lhs1" localSheetId="2" hidden="1">'1202'!$D$11</definedName>
    <definedName name="solver_lhs1" localSheetId="4" hidden="1">'1239'!$D$11</definedName>
    <definedName name="solver_lhs1" localSheetId="6" hidden="1">'1255'!$D$11</definedName>
    <definedName name="solver_lhs1" localSheetId="23" hidden="1">'1255 (Opt)'!$D$11</definedName>
    <definedName name="solver_lhs1" localSheetId="8" hidden="1">'1257'!$D$11</definedName>
    <definedName name="solver_lhs1" localSheetId="10" hidden="1">'1257 (2)'!$D$11</definedName>
    <definedName name="solver_lhs1" localSheetId="14" hidden="1">'1257 (3)'!$D$11</definedName>
    <definedName name="solver_lhs1" localSheetId="12" hidden="1">'1257 (4)'!$D$11</definedName>
    <definedName name="solver_lhs1" localSheetId="25" hidden="1">'1257 (Opt)'!$D$11</definedName>
    <definedName name="solver_lhs1" localSheetId="21" hidden="1">'1290 (Opt)'!$D$11</definedName>
    <definedName name="solver_lhs1" localSheetId="19" hidden="1">'1303 (Opt)'!$D$11</definedName>
    <definedName name="solver_lhs1" localSheetId="17" hidden="1">'1309 (Opt)'!$D$11</definedName>
    <definedName name="solver_lhs1" localSheetId="0" hidden="1">'183'!$D$11</definedName>
    <definedName name="solver_lhs1" localSheetId="15" hidden="1">'183 (Opt)'!$D$11</definedName>
    <definedName name="solver_lhs1" localSheetId="27" hidden="1">'Fernandez-Moya'!$D$11</definedName>
    <definedName name="solver_lhs2" localSheetId="2" hidden="1">'1202'!$D$11</definedName>
    <definedName name="solver_lhs2" localSheetId="4" hidden="1">'1239'!$D$11</definedName>
    <definedName name="solver_lhs2" localSheetId="6" hidden="1">'1255'!$D$11</definedName>
    <definedName name="solver_lhs2" localSheetId="23" hidden="1">'1255 (Opt)'!$D$11</definedName>
    <definedName name="solver_lhs2" localSheetId="8" hidden="1">'1257'!$D$11</definedName>
    <definedName name="solver_lhs2" localSheetId="10" hidden="1">'1257 (2)'!$D$11</definedName>
    <definedName name="solver_lhs2" localSheetId="14" hidden="1">'1257 (3)'!$D$11</definedName>
    <definedName name="solver_lhs2" localSheetId="12" hidden="1">'1257 (4)'!$D$11</definedName>
    <definedName name="solver_lhs2" localSheetId="25" hidden="1">'1257 (Opt)'!$D$11</definedName>
    <definedName name="solver_lhs2" localSheetId="21" hidden="1">'1290 (Opt)'!$D$11</definedName>
    <definedName name="solver_lhs2" localSheetId="19" hidden="1">'1303 (Opt)'!$D$11</definedName>
    <definedName name="solver_lhs2" localSheetId="17" hidden="1">'1309 (Opt)'!$D$11</definedName>
    <definedName name="solver_lhs2" localSheetId="0" hidden="1">'183'!$D$11</definedName>
    <definedName name="solver_lhs2" localSheetId="15" hidden="1">'183 (Opt)'!$D$11</definedName>
    <definedName name="solver_lhs2" localSheetId="27" hidden="1">'Fernandez-Moya'!$D$11</definedName>
    <definedName name="solver_lhs3" localSheetId="2" hidden="1">'1202'!$D$12</definedName>
    <definedName name="solver_lhs3" localSheetId="4" hidden="1">'1239'!$D$12</definedName>
    <definedName name="solver_lhs3" localSheetId="6" hidden="1">'1255'!$D$12</definedName>
    <definedName name="solver_lhs3" localSheetId="23" hidden="1">'1255 (Opt)'!$D$12</definedName>
    <definedName name="solver_lhs3" localSheetId="8" hidden="1">'1257'!$D$12</definedName>
    <definedName name="solver_lhs3" localSheetId="10" hidden="1">'1257 (2)'!$D$12</definedName>
    <definedName name="solver_lhs3" localSheetId="14" hidden="1">'1257 (3)'!$D$12</definedName>
    <definedName name="solver_lhs3" localSheetId="12" hidden="1">'1257 (4)'!$D$12</definedName>
    <definedName name="solver_lhs3" localSheetId="25" hidden="1">'1257 (Opt)'!$D$12</definedName>
    <definedName name="solver_lhs3" localSheetId="21" hidden="1">'1290 (Opt)'!$D$12</definedName>
    <definedName name="solver_lhs3" localSheetId="19" hidden="1">'1303 (Opt)'!$D$12</definedName>
    <definedName name="solver_lhs3" localSheetId="17" hidden="1">'1309 (Opt)'!$D$12</definedName>
    <definedName name="solver_lhs3" localSheetId="0" hidden="1">'183'!$D$12</definedName>
    <definedName name="solver_lhs3" localSheetId="15" hidden="1">'183 (Opt)'!$D$12</definedName>
    <definedName name="solver_lhs3" localSheetId="27" hidden="1">'Fernandez-Moya'!$D$12</definedName>
    <definedName name="solver_lhs4" localSheetId="2" hidden="1">'1202'!$D$13</definedName>
    <definedName name="solver_lhs4" localSheetId="4" hidden="1">'1239'!$D$13</definedName>
    <definedName name="solver_lhs4" localSheetId="6" hidden="1">'1255'!$D$13</definedName>
    <definedName name="solver_lhs4" localSheetId="23" hidden="1">'1255 (Opt)'!$D$13</definedName>
    <definedName name="solver_lhs4" localSheetId="8" hidden="1">'1257'!$D$13</definedName>
    <definedName name="solver_lhs4" localSheetId="10" hidden="1">'1257 (2)'!$D$13</definedName>
    <definedName name="solver_lhs4" localSheetId="14" hidden="1">'1257 (3)'!$D$13</definedName>
    <definedName name="solver_lhs4" localSheetId="12" hidden="1">'1257 (4)'!$D$13</definedName>
    <definedName name="solver_lhs4" localSheetId="25" hidden="1">'1257 (Opt)'!$D$13</definedName>
    <definedName name="solver_lhs4" localSheetId="21" hidden="1">'1290 (Opt)'!$D$13</definedName>
    <definedName name="solver_lhs4" localSheetId="19" hidden="1">'1303 (Opt)'!$D$13</definedName>
    <definedName name="solver_lhs4" localSheetId="17" hidden="1">'1309 (Opt)'!$D$13</definedName>
    <definedName name="solver_lhs4" localSheetId="0" hidden="1">'183'!$D$13</definedName>
    <definedName name="solver_lhs4" localSheetId="15" hidden="1">'183 (Opt)'!$D$13</definedName>
    <definedName name="solver_lhs4" localSheetId="27" hidden="1">'Fernandez-Moya'!$D$13</definedName>
    <definedName name="solver_lhs5" localSheetId="2" hidden="1">'1202'!$D$13</definedName>
    <definedName name="solver_lhs5" localSheetId="4" hidden="1">'1239'!$D$13</definedName>
    <definedName name="solver_lhs5" localSheetId="6" hidden="1">'1255'!$D$13</definedName>
    <definedName name="solver_lhs5" localSheetId="23" hidden="1">'1255 (Opt)'!$D$13</definedName>
    <definedName name="solver_lhs5" localSheetId="8" hidden="1">'1257'!$D$13</definedName>
    <definedName name="solver_lhs5" localSheetId="10" hidden="1">'1257 (2)'!$D$13</definedName>
    <definedName name="solver_lhs5" localSheetId="14" hidden="1">'1257 (3)'!$D$13</definedName>
    <definedName name="solver_lhs5" localSheetId="12" hidden="1">'1257 (4)'!$D$13</definedName>
    <definedName name="solver_lhs5" localSheetId="25" hidden="1">'1257 (Opt)'!$D$13</definedName>
    <definedName name="solver_lhs5" localSheetId="21" hidden="1">'1290 (Opt)'!$D$13</definedName>
    <definedName name="solver_lhs5" localSheetId="19" hidden="1">'1303 (Opt)'!$D$13</definedName>
    <definedName name="solver_lhs5" localSheetId="17" hidden="1">'1309 (Opt)'!$D$13</definedName>
    <definedName name="solver_lhs5" localSheetId="0" hidden="1">'183'!$D$13</definedName>
    <definedName name="solver_lhs5" localSheetId="15" hidden="1">'183 (Opt)'!$D$13</definedName>
    <definedName name="solver_lhs5" localSheetId="27" hidden="1">'Fernandez-Moya'!$D$13</definedName>
    <definedName name="solver_lhs6" localSheetId="2" hidden="1">'1202'!#REF!</definedName>
    <definedName name="solver_lhs6" localSheetId="4" hidden="1">'1239'!#REF!</definedName>
    <definedName name="solver_lhs6" localSheetId="6" hidden="1">'1255'!#REF!</definedName>
    <definedName name="solver_lhs6" localSheetId="23" hidden="1">'1255 (Opt)'!#REF!</definedName>
    <definedName name="solver_lhs6" localSheetId="8" hidden="1">'1257'!#REF!</definedName>
    <definedName name="solver_lhs6" localSheetId="10" hidden="1">'1257 (2)'!#REF!</definedName>
    <definedName name="solver_lhs6" localSheetId="14" hidden="1">'1257 (3)'!#REF!</definedName>
    <definedName name="solver_lhs6" localSheetId="12" hidden="1">'1257 (4)'!#REF!</definedName>
    <definedName name="solver_lhs6" localSheetId="25" hidden="1">'1257 (Opt)'!#REF!</definedName>
    <definedName name="solver_lhs6" localSheetId="21" hidden="1">'1290 (Opt)'!#REF!</definedName>
    <definedName name="solver_lhs6" localSheetId="19" hidden="1">'1303 (Opt)'!#REF!</definedName>
    <definedName name="solver_lhs6" localSheetId="17" hidden="1">'1309 (Opt)'!#REF!</definedName>
    <definedName name="solver_lhs6" localSheetId="0" hidden="1">'183'!#REF!</definedName>
    <definedName name="solver_lhs6" localSheetId="15" hidden="1">'183 (Opt)'!#REF!</definedName>
    <definedName name="solver_lhs6" localSheetId="27" hidden="1">'Fernandez-Moya'!#REF!</definedName>
    <definedName name="solver_lin" localSheetId="2" hidden="1">2</definedName>
    <definedName name="solver_lin" localSheetId="4" hidden="1">2</definedName>
    <definedName name="solver_lin" localSheetId="6" hidden="1">2</definedName>
    <definedName name="solver_lin" localSheetId="23" hidden="1">2</definedName>
    <definedName name="solver_lin" localSheetId="8" hidden="1">2</definedName>
    <definedName name="solver_lin" localSheetId="10" hidden="1">2</definedName>
    <definedName name="solver_lin" localSheetId="14" hidden="1">2</definedName>
    <definedName name="solver_lin" localSheetId="12" hidden="1">2</definedName>
    <definedName name="solver_lin" localSheetId="25" hidden="1">2</definedName>
    <definedName name="solver_lin" localSheetId="21" hidden="1">2</definedName>
    <definedName name="solver_lin" localSheetId="19" hidden="1">2</definedName>
    <definedName name="solver_lin" localSheetId="17" hidden="1">2</definedName>
    <definedName name="solver_lin" localSheetId="0" hidden="1">2</definedName>
    <definedName name="solver_lin" localSheetId="15" hidden="1">2</definedName>
    <definedName name="solver_lin" localSheetId="27" hidden="1">2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23" hidden="1">2147483647</definedName>
    <definedName name="solver_mip" localSheetId="8" hidden="1">2147483647</definedName>
    <definedName name="solver_mip" localSheetId="10" hidden="1">2147483647</definedName>
    <definedName name="solver_mip" localSheetId="14" hidden="1">2147483647</definedName>
    <definedName name="solver_mip" localSheetId="12" hidden="1">2147483647</definedName>
    <definedName name="solver_mip" localSheetId="25" hidden="1">2147483647</definedName>
    <definedName name="solver_mip" localSheetId="21" hidden="1">2147483647</definedName>
    <definedName name="solver_mip" localSheetId="19" hidden="1">2147483647</definedName>
    <definedName name="solver_mip" localSheetId="17" hidden="1">2147483647</definedName>
    <definedName name="solver_mip" localSheetId="0" hidden="1">2147483647</definedName>
    <definedName name="solver_mip" localSheetId="15" hidden="1">2147483647</definedName>
    <definedName name="solver_mip" localSheetId="27" hidden="1">2147483647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23" hidden="1">30</definedName>
    <definedName name="solver_mni" localSheetId="8" hidden="1">30</definedName>
    <definedName name="solver_mni" localSheetId="10" hidden="1">30</definedName>
    <definedName name="solver_mni" localSheetId="14" hidden="1">30</definedName>
    <definedName name="solver_mni" localSheetId="12" hidden="1">30</definedName>
    <definedName name="solver_mni" localSheetId="25" hidden="1">30</definedName>
    <definedName name="solver_mni" localSheetId="21" hidden="1">30</definedName>
    <definedName name="solver_mni" localSheetId="19" hidden="1">30</definedName>
    <definedName name="solver_mni" localSheetId="17" hidden="1">30</definedName>
    <definedName name="solver_mni" localSheetId="0" hidden="1">30</definedName>
    <definedName name="solver_mni" localSheetId="15" hidden="1">30</definedName>
    <definedName name="solver_mni" localSheetId="27" hidden="1">30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23" hidden="1">0.075</definedName>
    <definedName name="solver_mrt" localSheetId="8" hidden="1">0.075</definedName>
    <definedName name="solver_mrt" localSheetId="10" hidden="1">0.075</definedName>
    <definedName name="solver_mrt" localSheetId="14" hidden="1">0.075</definedName>
    <definedName name="solver_mrt" localSheetId="12" hidden="1">0.075</definedName>
    <definedName name="solver_mrt" localSheetId="25" hidden="1">0.075</definedName>
    <definedName name="solver_mrt" localSheetId="21" hidden="1">0.075</definedName>
    <definedName name="solver_mrt" localSheetId="19" hidden="1">0.075</definedName>
    <definedName name="solver_mrt" localSheetId="17" hidden="1">0.075</definedName>
    <definedName name="solver_mrt" localSheetId="0" hidden="1">0.075</definedName>
    <definedName name="solver_mrt" localSheetId="15" hidden="1">0.075</definedName>
    <definedName name="solver_mrt" localSheetId="27" hidden="1">0.075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23" hidden="1">2</definedName>
    <definedName name="solver_msl" localSheetId="8" hidden="1">2</definedName>
    <definedName name="solver_msl" localSheetId="10" hidden="1">2</definedName>
    <definedName name="solver_msl" localSheetId="14" hidden="1">2</definedName>
    <definedName name="solver_msl" localSheetId="12" hidden="1">2</definedName>
    <definedName name="solver_msl" localSheetId="25" hidden="1">2</definedName>
    <definedName name="solver_msl" localSheetId="21" hidden="1">2</definedName>
    <definedName name="solver_msl" localSheetId="19" hidden="1">2</definedName>
    <definedName name="solver_msl" localSheetId="17" hidden="1">2</definedName>
    <definedName name="solver_msl" localSheetId="0" hidden="1">2</definedName>
    <definedName name="solver_msl" localSheetId="15" hidden="1">2</definedName>
    <definedName name="solver_msl" localSheetId="27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23" hidden="1">2</definedName>
    <definedName name="solver_neg" localSheetId="8" hidden="1">2</definedName>
    <definedName name="solver_neg" localSheetId="10" hidden="1">2</definedName>
    <definedName name="solver_neg" localSheetId="14" hidden="1">2</definedName>
    <definedName name="solver_neg" localSheetId="12" hidden="1">2</definedName>
    <definedName name="solver_neg" localSheetId="25" hidden="1">2</definedName>
    <definedName name="solver_neg" localSheetId="21" hidden="1">2</definedName>
    <definedName name="solver_neg" localSheetId="19" hidden="1">2</definedName>
    <definedName name="solver_neg" localSheetId="17" hidden="1">2</definedName>
    <definedName name="solver_neg" localSheetId="0" hidden="1">2</definedName>
    <definedName name="solver_neg" localSheetId="15" hidden="1">2</definedName>
    <definedName name="solver_neg" localSheetId="27" hidden="1">2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23" hidden="1">2147483647</definedName>
    <definedName name="solver_nod" localSheetId="8" hidden="1">2147483647</definedName>
    <definedName name="solver_nod" localSheetId="10" hidden="1">2147483647</definedName>
    <definedName name="solver_nod" localSheetId="14" hidden="1">2147483647</definedName>
    <definedName name="solver_nod" localSheetId="12" hidden="1">2147483647</definedName>
    <definedName name="solver_nod" localSheetId="25" hidden="1">2147483647</definedName>
    <definedName name="solver_nod" localSheetId="21" hidden="1">2147483647</definedName>
    <definedName name="solver_nod" localSheetId="19" hidden="1">2147483647</definedName>
    <definedName name="solver_nod" localSheetId="17" hidden="1">2147483647</definedName>
    <definedName name="solver_nod" localSheetId="0" hidden="1">2147483647</definedName>
    <definedName name="solver_nod" localSheetId="15" hidden="1">2147483647</definedName>
    <definedName name="solver_nod" localSheetId="27" hidden="1">2147483647</definedName>
    <definedName name="solver_num" localSheetId="2" hidden="1">4</definedName>
    <definedName name="solver_num" localSheetId="4" hidden="1">4</definedName>
    <definedName name="solver_num" localSheetId="6" hidden="1">4</definedName>
    <definedName name="solver_num" localSheetId="23" hidden="1">4</definedName>
    <definedName name="solver_num" localSheetId="8" hidden="1">4</definedName>
    <definedName name="solver_num" localSheetId="10" hidden="1">4</definedName>
    <definedName name="solver_num" localSheetId="14" hidden="1">4</definedName>
    <definedName name="solver_num" localSheetId="12" hidden="1">4</definedName>
    <definedName name="solver_num" localSheetId="25" hidden="1">4</definedName>
    <definedName name="solver_num" localSheetId="21" hidden="1">4</definedName>
    <definedName name="solver_num" localSheetId="19" hidden="1">4</definedName>
    <definedName name="solver_num" localSheetId="17" hidden="1">4</definedName>
    <definedName name="solver_num" localSheetId="0" hidden="1">4</definedName>
    <definedName name="solver_num" localSheetId="15" hidden="1">4</definedName>
    <definedName name="solver_num" localSheetId="27" hidden="1">4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23" hidden="1">1</definedName>
    <definedName name="solver_nwt" localSheetId="8" hidden="1">1</definedName>
    <definedName name="solver_nwt" localSheetId="10" hidden="1">1</definedName>
    <definedName name="solver_nwt" localSheetId="14" hidden="1">1</definedName>
    <definedName name="solver_nwt" localSheetId="12" hidden="1">1</definedName>
    <definedName name="solver_nwt" localSheetId="25" hidden="1">1</definedName>
    <definedName name="solver_nwt" localSheetId="21" hidden="1">1</definedName>
    <definedName name="solver_nwt" localSheetId="19" hidden="1">1</definedName>
    <definedName name="solver_nwt" localSheetId="17" hidden="1">1</definedName>
    <definedName name="solver_nwt" localSheetId="0" hidden="1">1</definedName>
    <definedName name="solver_nwt" localSheetId="15" hidden="1">1</definedName>
    <definedName name="solver_nwt" localSheetId="27" hidden="1">1</definedName>
    <definedName name="solver_opt" localSheetId="2" hidden="1">'1202'!$D$6</definedName>
    <definedName name="solver_opt" localSheetId="4" hidden="1">'1239'!$D$6</definedName>
    <definedName name="solver_opt" localSheetId="6" hidden="1">'1255'!$D$6</definedName>
    <definedName name="solver_opt" localSheetId="23" hidden="1">'1255 (Opt)'!$D$6</definedName>
    <definedName name="solver_opt" localSheetId="8" hidden="1">'1257'!$D$6</definedName>
    <definedName name="solver_opt" localSheetId="10" hidden="1">'1257 (2)'!$D$6</definedName>
    <definedName name="solver_opt" localSheetId="14" hidden="1">'1257 (3)'!$D$6</definedName>
    <definedName name="solver_opt" localSheetId="12" hidden="1">'1257 (4)'!$D$6</definedName>
    <definedName name="solver_opt" localSheetId="25" hidden="1">'1257 (Opt)'!$D$6</definedName>
    <definedName name="solver_opt" localSheetId="21" hidden="1">'1290 (Opt)'!$D$6</definedName>
    <definedName name="solver_opt" localSheetId="19" hidden="1">'1303 (Opt)'!$D$6</definedName>
    <definedName name="solver_opt" localSheetId="17" hidden="1">'1309 (Opt)'!$D$6</definedName>
    <definedName name="solver_opt" localSheetId="0" hidden="1">'183'!$D$6</definedName>
    <definedName name="solver_opt" localSheetId="15" hidden="1">'183 (Opt)'!$D$6</definedName>
    <definedName name="solver_opt" localSheetId="27" hidden="1">'Fernandez-Moya'!$D$6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23" hidden="1">0.000001</definedName>
    <definedName name="solver_pre" localSheetId="8" hidden="1">0.000001</definedName>
    <definedName name="solver_pre" localSheetId="10" hidden="1">0.000001</definedName>
    <definedName name="solver_pre" localSheetId="14" hidden="1">0.000001</definedName>
    <definedName name="solver_pre" localSheetId="12" hidden="1">0.000001</definedName>
    <definedName name="solver_pre" localSheetId="25" hidden="1">0.000001</definedName>
    <definedName name="solver_pre" localSheetId="21" hidden="1">0.000001</definedName>
    <definedName name="solver_pre" localSheetId="19" hidden="1">0.000001</definedName>
    <definedName name="solver_pre" localSheetId="17" hidden="1">0.000001</definedName>
    <definedName name="solver_pre" localSheetId="0" hidden="1">0.000001</definedName>
    <definedName name="solver_pre" localSheetId="15" hidden="1">0.000001</definedName>
    <definedName name="solver_pre" localSheetId="27" hidden="1">0.000001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23" hidden="1">1</definedName>
    <definedName name="solver_rbv" localSheetId="8" hidden="1">1</definedName>
    <definedName name="solver_rbv" localSheetId="10" hidden="1">1</definedName>
    <definedName name="solver_rbv" localSheetId="14" hidden="1">1</definedName>
    <definedName name="solver_rbv" localSheetId="12" hidden="1">1</definedName>
    <definedName name="solver_rbv" localSheetId="25" hidden="1">1</definedName>
    <definedName name="solver_rbv" localSheetId="21" hidden="1">1</definedName>
    <definedName name="solver_rbv" localSheetId="19" hidden="1">1</definedName>
    <definedName name="solver_rbv" localSheetId="17" hidden="1">1</definedName>
    <definedName name="solver_rbv" localSheetId="0" hidden="1">1</definedName>
    <definedName name="solver_rbv" localSheetId="15" hidden="1">1</definedName>
    <definedName name="solver_rbv" localSheetId="27" hidden="1">1</definedName>
    <definedName name="solver_rel1" localSheetId="2" hidden="1">1</definedName>
    <definedName name="solver_rel1" localSheetId="4" hidden="1">1</definedName>
    <definedName name="solver_rel1" localSheetId="6" hidden="1">1</definedName>
    <definedName name="solver_rel1" localSheetId="23" hidden="1">1</definedName>
    <definedName name="solver_rel1" localSheetId="8" hidden="1">1</definedName>
    <definedName name="solver_rel1" localSheetId="10" hidden="1">1</definedName>
    <definedName name="solver_rel1" localSheetId="14" hidden="1">1</definedName>
    <definedName name="solver_rel1" localSheetId="12" hidden="1">1</definedName>
    <definedName name="solver_rel1" localSheetId="25" hidden="1">1</definedName>
    <definedName name="solver_rel1" localSheetId="21" hidden="1">1</definedName>
    <definedName name="solver_rel1" localSheetId="19" hidden="1">1</definedName>
    <definedName name="solver_rel1" localSheetId="17" hidden="1">1</definedName>
    <definedName name="solver_rel1" localSheetId="0" hidden="1">1</definedName>
    <definedName name="solver_rel1" localSheetId="15" hidden="1">1</definedName>
    <definedName name="solver_rel1" localSheetId="27" hidden="1">1</definedName>
    <definedName name="solver_rel2" localSheetId="2" hidden="1">3</definedName>
    <definedName name="solver_rel2" localSheetId="4" hidden="1">3</definedName>
    <definedName name="solver_rel2" localSheetId="6" hidden="1">3</definedName>
    <definedName name="solver_rel2" localSheetId="23" hidden="1">3</definedName>
    <definedName name="solver_rel2" localSheetId="8" hidden="1">3</definedName>
    <definedName name="solver_rel2" localSheetId="10" hidden="1">3</definedName>
    <definedName name="solver_rel2" localSheetId="14" hidden="1">3</definedName>
    <definedName name="solver_rel2" localSheetId="12" hidden="1">3</definedName>
    <definedName name="solver_rel2" localSheetId="25" hidden="1">3</definedName>
    <definedName name="solver_rel2" localSheetId="21" hidden="1">3</definedName>
    <definedName name="solver_rel2" localSheetId="19" hidden="1">3</definedName>
    <definedName name="solver_rel2" localSheetId="17" hidden="1">3</definedName>
    <definedName name="solver_rel2" localSheetId="0" hidden="1">3</definedName>
    <definedName name="solver_rel2" localSheetId="15" hidden="1">3</definedName>
    <definedName name="solver_rel2" localSheetId="27" hidden="1">3</definedName>
    <definedName name="solver_rel3" localSheetId="2" hidden="1">3</definedName>
    <definedName name="solver_rel3" localSheetId="4" hidden="1">3</definedName>
    <definedName name="solver_rel3" localSheetId="6" hidden="1">3</definedName>
    <definedName name="solver_rel3" localSheetId="23" hidden="1">3</definedName>
    <definedName name="solver_rel3" localSheetId="8" hidden="1">3</definedName>
    <definedName name="solver_rel3" localSheetId="10" hidden="1">3</definedName>
    <definedName name="solver_rel3" localSheetId="14" hidden="1">3</definedName>
    <definedName name="solver_rel3" localSheetId="12" hidden="1">3</definedName>
    <definedName name="solver_rel3" localSheetId="25" hidden="1">3</definedName>
    <definedName name="solver_rel3" localSheetId="21" hidden="1">3</definedName>
    <definedName name="solver_rel3" localSheetId="19" hidden="1">3</definedName>
    <definedName name="solver_rel3" localSheetId="17" hidden="1">3</definedName>
    <definedName name="solver_rel3" localSheetId="0" hidden="1">3</definedName>
    <definedName name="solver_rel3" localSheetId="15" hidden="1">3</definedName>
    <definedName name="solver_rel3" localSheetId="27" hidden="1">3</definedName>
    <definedName name="solver_rel4" localSheetId="2" hidden="1">3</definedName>
    <definedName name="solver_rel4" localSheetId="4" hidden="1">3</definedName>
    <definedName name="solver_rel4" localSheetId="6" hidden="1">3</definedName>
    <definedName name="solver_rel4" localSheetId="23" hidden="1">3</definedName>
    <definedName name="solver_rel4" localSheetId="8" hidden="1">3</definedName>
    <definedName name="solver_rel4" localSheetId="10" hidden="1">3</definedName>
    <definedName name="solver_rel4" localSheetId="14" hidden="1">3</definedName>
    <definedName name="solver_rel4" localSheetId="12" hidden="1">3</definedName>
    <definedName name="solver_rel4" localSheetId="25" hidden="1">3</definedName>
    <definedName name="solver_rel4" localSheetId="21" hidden="1">3</definedName>
    <definedName name="solver_rel4" localSheetId="19" hidden="1">3</definedName>
    <definedName name="solver_rel4" localSheetId="17" hidden="1">3</definedName>
    <definedName name="solver_rel4" localSheetId="0" hidden="1">3</definedName>
    <definedName name="solver_rel4" localSheetId="15" hidden="1">3</definedName>
    <definedName name="solver_rel4" localSheetId="27" hidden="1">3</definedName>
    <definedName name="solver_rel5" localSheetId="2" hidden="1">3</definedName>
    <definedName name="solver_rel5" localSheetId="4" hidden="1">3</definedName>
    <definedName name="solver_rel5" localSheetId="6" hidden="1">3</definedName>
    <definedName name="solver_rel5" localSheetId="23" hidden="1">3</definedName>
    <definedName name="solver_rel5" localSheetId="8" hidden="1">3</definedName>
    <definedName name="solver_rel5" localSheetId="10" hidden="1">3</definedName>
    <definedName name="solver_rel5" localSheetId="14" hidden="1">3</definedName>
    <definedName name="solver_rel5" localSheetId="12" hidden="1">3</definedName>
    <definedName name="solver_rel5" localSheetId="25" hidden="1">3</definedName>
    <definedName name="solver_rel5" localSheetId="21" hidden="1">3</definedName>
    <definedName name="solver_rel5" localSheetId="19" hidden="1">3</definedName>
    <definedName name="solver_rel5" localSheetId="17" hidden="1">3</definedName>
    <definedName name="solver_rel5" localSheetId="0" hidden="1">3</definedName>
    <definedName name="solver_rel5" localSheetId="15" hidden="1">3</definedName>
    <definedName name="solver_rel5" localSheetId="27" hidden="1">3</definedName>
    <definedName name="solver_rel6" localSheetId="2" hidden="1">3</definedName>
    <definedName name="solver_rel6" localSheetId="4" hidden="1">3</definedName>
    <definedName name="solver_rel6" localSheetId="6" hidden="1">3</definedName>
    <definedName name="solver_rel6" localSheetId="23" hidden="1">3</definedName>
    <definedName name="solver_rel6" localSheetId="8" hidden="1">3</definedName>
    <definedName name="solver_rel6" localSheetId="10" hidden="1">3</definedName>
    <definedName name="solver_rel6" localSheetId="14" hidden="1">3</definedName>
    <definedName name="solver_rel6" localSheetId="12" hidden="1">3</definedName>
    <definedName name="solver_rel6" localSheetId="25" hidden="1">3</definedName>
    <definedName name="solver_rel6" localSheetId="21" hidden="1">3</definedName>
    <definedName name="solver_rel6" localSheetId="19" hidden="1">3</definedName>
    <definedName name="solver_rel6" localSheetId="17" hidden="1">3</definedName>
    <definedName name="solver_rel6" localSheetId="0" hidden="1">3</definedName>
    <definedName name="solver_rel6" localSheetId="15" hidden="1">3</definedName>
    <definedName name="solver_rel6" localSheetId="27" hidden="1">3</definedName>
    <definedName name="solver_rhs1" localSheetId="2" hidden="1">8</definedName>
    <definedName name="solver_rhs1" localSheetId="4" hidden="1">8</definedName>
    <definedName name="solver_rhs1" localSheetId="6" hidden="1">8</definedName>
    <definedName name="solver_rhs1" localSheetId="23" hidden="1">8</definedName>
    <definedName name="solver_rhs1" localSheetId="8" hidden="1">8</definedName>
    <definedName name="solver_rhs1" localSheetId="10" hidden="1">8</definedName>
    <definedName name="solver_rhs1" localSheetId="14" hidden="1">5</definedName>
    <definedName name="solver_rhs1" localSheetId="12" hidden="1">7</definedName>
    <definedName name="solver_rhs1" localSheetId="25" hidden="1">8</definedName>
    <definedName name="solver_rhs1" localSheetId="21" hidden="1">8</definedName>
    <definedName name="solver_rhs1" localSheetId="19" hidden="1">8</definedName>
    <definedName name="solver_rhs1" localSheetId="17" hidden="1">8</definedName>
    <definedName name="solver_rhs1" localSheetId="0" hidden="1">8</definedName>
    <definedName name="solver_rhs1" localSheetId="15" hidden="1">8</definedName>
    <definedName name="solver_rhs1" localSheetId="27" hidden="1">7</definedName>
    <definedName name="solver_rhs2" localSheetId="2" hidden="1">0</definedName>
    <definedName name="solver_rhs2" localSheetId="4" hidden="1">0</definedName>
    <definedName name="solver_rhs2" localSheetId="6" hidden="1">0</definedName>
    <definedName name="solver_rhs2" localSheetId="23" hidden="1">0</definedName>
    <definedName name="solver_rhs2" localSheetId="8" hidden="1">0</definedName>
    <definedName name="solver_rhs2" localSheetId="10" hidden="1">0</definedName>
    <definedName name="solver_rhs2" localSheetId="14" hidden="1">0</definedName>
    <definedName name="solver_rhs2" localSheetId="12" hidden="1">0</definedName>
    <definedName name="solver_rhs2" localSheetId="25" hidden="1">0</definedName>
    <definedName name="solver_rhs2" localSheetId="21" hidden="1">0</definedName>
    <definedName name="solver_rhs2" localSheetId="19" hidden="1">0</definedName>
    <definedName name="solver_rhs2" localSheetId="17" hidden="1">0</definedName>
    <definedName name="solver_rhs2" localSheetId="0" hidden="1">0</definedName>
    <definedName name="solver_rhs2" localSheetId="15" hidden="1">0</definedName>
    <definedName name="solver_rhs2" localSheetId="27" hidden="1">0</definedName>
    <definedName name="solver_rhs3" localSheetId="2" hidden="1">0</definedName>
    <definedName name="solver_rhs3" localSheetId="4" hidden="1">0</definedName>
    <definedName name="solver_rhs3" localSheetId="6" hidden="1">0</definedName>
    <definedName name="solver_rhs3" localSheetId="23" hidden="1">0</definedName>
    <definedName name="solver_rhs3" localSheetId="8" hidden="1">0</definedName>
    <definedName name="solver_rhs3" localSheetId="10" hidden="1">0</definedName>
    <definedName name="solver_rhs3" localSheetId="14" hidden="1">0</definedName>
    <definedName name="solver_rhs3" localSheetId="12" hidden="1">0</definedName>
    <definedName name="solver_rhs3" localSheetId="25" hidden="1">0</definedName>
    <definedName name="solver_rhs3" localSheetId="21" hidden="1">0</definedName>
    <definedName name="solver_rhs3" localSheetId="19" hidden="1">0</definedName>
    <definedName name="solver_rhs3" localSheetId="17" hidden="1">0</definedName>
    <definedName name="solver_rhs3" localSheetId="0" hidden="1">0</definedName>
    <definedName name="solver_rhs3" localSheetId="15" hidden="1">0</definedName>
    <definedName name="solver_rhs3" localSheetId="27" hidden="1">0</definedName>
    <definedName name="solver_rhs4" localSheetId="2" hidden="1">0</definedName>
    <definedName name="solver_rhs4" localSheetId="4" hidden="1">0</definedName>
    <definedName name="solver_rhs4" localSheetId="6" hidden="1">0</definedName>
    <definedName name="solver_rhs4" localSheetId="23" hidden="1">0</definedName>
    <definedName name="solver_rhs4" localSheetId="8" hidden="1">0</definedName>
    <definedName name="solver_rhs4" localSheetId="10" hidden="1">0</definedName>
    <definedName name="solver_rhs4" localSheetId="14" hidden="1">0</definedName>
    <definedName name="solver_rhs4" localSheetId="12" hidden="1">0</definedName>
    <definedName name="solver_rhs4" localSheetId="25" hidden="1">0</definedName>
    <definedName name="solver_rhs4" localSheetId="21" hidden="1">0</definedName>
    <definedName name="solver_rhs4" localSheetId="19" hidden="1">0</definedName>
    <definedName name="solver_rhs4" localSheetId="17" hidden="1">0</definedName>
    <definedName name="solver_rhs4" localSheetId="0" hidden="1">0</definedName>
    <definedName name="solver_rhs4" localSheetId="15" hidden="1">0</definedName>
    <definedName name="solver_rhs4" localSheetId="27" hidden="1">0</definedName>
    <definedName name="solver_rhs5" localSheetId="2" hidden="1">0</definedName>
    <definedName name="solver_rhs5" localSheetId="4" hidden="1">0</definedName>
    <definedName name="solver_rhs5" localSheetId="6" hidden="1">0</definedName>
    <definedName name="solver_rhs5" localSheetId="23" hidden="1">0</definedName>
    <definedName name="solver_rhs5" localSheetId="8" hidden="1">0</definedName>
    <definedName name="solver_rhs5" localSheetId="10" hidden="1">0</definedName>
    <definedName name="solver_rhs5" localSheetId="14" hidden="1">0</definedName>
    <definedName name="solver_rhs5" localSheetId="12" hidden="1">0</definedName>
    <definedName name="solver_rhs5" localSheetId="25" hidden="1">0</definedName>
    <definedName name="solver_rhs5" localSheetId="21" hidden="1">0</definedName>
    <definedName name="solver_rhs5" localSheetId="19" hidden="1">0</definedName>
    <definedName name="solver_rhs5" localSheetId="17" hidden="1">0</definedName>
    <definedName name="solver_rhs5" localSheetId="0" hidden="1">0</definedName>
    <definedName name="solver_rhs5" localSheetId="15" hidden="1">0</definedName>
    <definedName name="solver_rhs5" localSheetId="27" hidden="1">0</definedName>
    <definedName name="solver_rhs6" localSheetId="2" hidden="1">0</definedName>
    <definedName name="solver_rhs6" localSheetId="4" hidden="1">0</definedName>
    <definedName name="solver_rhs6" localSheetId="6" hidden="1">0</definedName>
    <definedName name="solver_rhs6" localSheetId="23" hidden="1">0</definedName>
    <definedName name="solver_rhs6" localSheetId="8" hidden="1">0</definedName>
    <definedName name="solver_rhs6" localSheetId="10" hidden="1">0</definedName>
    <definedName name="solver_rhs6" localSheetId="14" hidden="1">0</definedName>
    <definedName name="solver_rhs6" localSheetId="12" hidden="1">0</definedName>
    <definedName name="solver_rhs6" localSheetId="25" hidden="1">0</definedName>
    <definedName name="solver_rhs6" localSheetId="21" hidden="1">0</definedName>
    <definedName name="solver_rhs6" localSheetId="19" hidden="1">0</definedName>
    <definedName name="solver_rhs6" localSheetId="17" hidden="1">0</definedName>
    <definedName name="solver_rhs6" localSheetId="0" hidden="1">0</definedName>
    <definedName name="solver_rhs6" localSheetId="15" hidden="1">0</definedName>
    <definedName name="solver_rhs6" localSheetId="27" hidden="1">0</definedName>
    <definedName name="solver_rlx" localSheetId="2" hidden="1">1</definedName>
    <definedName name="solver_rlx" localSheetId="4" hidden="1">1</definedName>
    <definedName name="solver_rlx" localSheetId="6" hidden="1">1</definedName>
    <definedName name="solver_rlx" localSheetId="23" hidden="1">1</definedName>
    <definedName name="solver_rlx" localSheetId="8" hidden="1">1</definedName>
    <definedName name="solver_rlx" localSheetId="10" hidden="1">1</definedName>
    <definedName name="solver_rlx" localSheetId="14" hidden="1">1</definedName>
    <definedName name="solver_rlx" localSheetId="12" hidden="1">1</definedName>
    <definedName name="solver_rlx" localSheetId="25" hidden="1">1</definedName>
    <definedName name="solver_rlx" localSheetId="21" hidden="1">1</definedName>
    <definedName name="solver_rlx" localSheetId="19" hidden="1">1</definedName>
    <definedName name="solver_rlx" localSheetId="17" hidden="1">1</definedName>
    <definedName name="solver_rlx" localSheetId="0" hidden="1">1</definedName>
    <definedName name="solver_rlx" localSheetId="15" hidden="1">1</definedName>
    <definedName name="solver_rlx" localSheetId="27" hidden="1">1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23" hidden="1">0</definedName>
    <definedName name="solver_rsd" localSheetId="8" hidden="1">0</definedName>
    <definedName name="solver_rsd" localSheetId="10" hidden="1">0</definedName>
    <definedName name="solver_rsd" localSheetId="14" hidden="1">0</definedName>
    <definedName name="solver_rsd" localSheetId="12" hidden="1">0</definedName>
    <definedName name="solver_rsd" localSheetId="25" hidden="1">0</definedName>
    <definedName name="solver_rsd" localSheetId="21" hidden="1">0</definedName>
    <definedName name="solver_rsd" localSheetId="19" hidden="1">0</definedName>
    <definedName name="solver_rsd" localSheetId="17" hidden="1">0</definedName>
    <definedName name="solver_rsd" localSheetId="0" hidden="1">0</definedName>
    <definedName name="solver_rsd" localSheetId="15" hidden="1">0</definedName>
    <definedName name="solver_rsd" localSheetId="27" hidden="1">0</definedName>
    <definedName name="solver_scl" localSheetId="2" hidden="1">2</definedName>
    <definedName name="solver_scl" localSheetId="4" hidden="1">2</definedName>
    <definedName name="solver_scl" localSheetId="6" hidden="1">2</definedName>
    <definedName name="solver_scl" localSheetId="23" hidden="1">2</definedName>
    <definedName name="solver_scl" localSheetId="8" hidden="1">2</definedName>
    <definedName name="solver_scl" localSheetId="10" hidden="1">2</definedName>
    <definedName name="solver_scl" localSheetId="14" hidden="1">2</definedName>
    <definedName name="solver_scl" localSheetId="12" hidden="1">2</definedName>
    <definedName name="solver_scl" localSheetId="25" hidden="1">2</definedName>
    <definedName name="solver_scl" localSheetId="21" hidden="1">2</definedName>
    <definedName name="solver_scl" localSheetId="19" hidden="1">2</definedName>
    <definedName name="solver_scl" localSheetId="17" hidden="1">2</definedName>
    <definedName name="solver_scl" localSheetId="0" hidden="1">2</definedName>
    <definedName name="solver_scl" localSheetId="15" hidden="1">2</definedName>
    <definedName name="solver_scl" localSheetId="27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23" hidden="1">2</definedName>
    <definedName name="solver_sho" localSheetId="8" hidden="1">2</definedName>
    <definedName name="solver_sho" localSheetId="10" hidden="1">2</definedName>
    <definedName name="solver_sho" localSheetId="14" hidden="1">2</definedName>
    <definedName name="solver_sho" localSheetId="12" hidden="1">2</definedName>
    <definedName name="solver_sho" localSheetId="25" hidden="1">2</definedName>
    <definedName name="solver_sho" localSheetId="21" hidden="1">2</definedName>
    <definedName name="solver_sho" localSheetId="19" hidden="1">2</definedName>
    <definedName name="solver_sho" localSheetId="17" hidden="1">2</definedName>
    <definedName name="solver_sho" localSheetId="0" hidden="1">2</definedName>
    <definedName name="solver_sho" localSheetId="15" hidden="1">2</definedName>
    <definedName name="solver_sho" localSheetId="27" hidden="1">2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23" hidden="1">100</definedName>
    <definedName name="solver_ssz" localSheetId="8" hidden="1">100</definedName>
    <definedName name="solver_ssz" localSheetId="10" hidden="1">100</definedName>
    <definedName name="solver_ssz" localSheetId="14" hidden="1">100</definedName>
    <definedName name="solver_ssz" localSheetId="12" hidden="1">100</definedName>
    <definedName name="solver_ssz" localSheetId="25" hidden="1">100</definedName>
    <definedName name="solver_ssz" localSheetId="21" hidden="1">100</definedName>
    <definedName name="solver_ssz" localSheetId="19" hidden="1">100</definedName>
    <definedName name="solver_ssz" localSheetId="17" hidden="1">100</definedName>
    <definedName name="solver_ssz" localSheetId="0" hidden="1">100</definedName>
    <definedName name="solver_ssz" localSheetId="15" hidden="1">100</definedName>
    <definedName name="solver_ssz" localSheetId="27" hidden="1">100</definedName>
    <definedName name="solver_tim" localSheetId="2" hidden="1">100</definedName>
    <definedName name="solver_tim" localSheetId="4" hidden="1">100</definedName>
    <definedName name="solver_tim" localSheetId="6" hidden="1">100</definedName>
    <definedName name="solver_tim" localSheetId="23" hidden="1">100</definedName>
    <definedName name="solver_tim" localSheetId="8" hidden="1">100</definedName>
    <definedName name="solver_tim" localSheetId="10" hidden="1">100</definedName>
    <definedName name="solver_tim" localSheetId="14" hidden="1">100</definedName>
    <definedName name="solver_tim" localSheetId="12" hidden="1">100</definedName>
    <definedName name="solver_tim" localSheetId="25" hidden="1">100</definedName>
    <definedName name="solver_tim" localSheetId="21" hidden="1">100</definedName>
    <definedName name="solver_tim" localSheetId="19" hidden="1">100</definedName>
    <definedName name="solver_tim" localSheetId="17" hidden="1">100</definedName>
    <definedName name="solver_tim" localSheetId="0" hidden="1">100</definedName>
    <definedName name="solver_tim" localSheetId="15" hidden="1">100</definedName>
    <definedName name="solver_tim" localSheetId="27" hidden="1">100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23" hidden="1">0.01</definedName>
    <definedName name="solver_tol" localSheetId="8" hidden="1">0.01</definedName>
    <definedName name="solver_tol" localSheetId="10" hidden="1">0.01</definedName>
    <definedName name="solver_tol" localSheetId="14" hidden="1">0.01</definedName>
    <definedName name="solver_tol" localSheetId="12" hidden="1">0.01</definedName>
    <definedName name="solver_tol" localSheetId="25" hidden="1">0.01</definedName>
    <definedName name="solver_tol" localSheetId="21" hidden="1">0.01</definedName>
    <definedName name="solver_tol" localSheetId="19" hidden="1">0.01</definedName>
    <definedName name="solver_tol" localSheetId="17" hidden="1">0.01</definedName>
    <definedName name="solver_tol" localSheetId="0" hidden="1">0.01</definedName>
    <definedName name="solver_tol" localSheetId="15" hidden="1">0.01</definedName>
    <definedName name="solver_tol" localSheetId="27" hidden="1">0.01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23" hidden="1">2</definedName>
    <definedName name="solver_typ" localSheetId="8" hidden="1">2</definedName>
    <definedName name="solver_typ" localSheetId="10" hidden="1">2</definedName>
    <definedName name="solver_typ" localSheetId="14" hidden="1">2</definedName>
    <definedName name="solver_typ" localSheetId="12" hidden="1">2</definedName>
    <definedName name="solver_typ" localSheetId="25" hidden="1">2</definedName>
    <definedName name="solver_typ" localSheetId="21" hidden="1">2</definedName>
    <definedName name="solver_typ" localSheetId="19" hidden="1">2</definedName>
    <definedName name="solver_typ" localSheetId="17" hidden="1">2</definedName>
    <definedName name="solver_typ" localSheetId="0" hidden="1">2</definedName>
    <definedName name="solver_typ" localSheetId="15" hidden="1">2</definedName>
    <definedName name="solver_typ" localSheetId="27" hidden="1">2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23" hidden="1">0</definedName>
    <definedName name="solver_val" localSheetId="8" hidden="1">0</definedName>
    <definedName name="solver_val" localSheetId="10" hidden="1">0</definedName>
    <definedName name="solver_val" localSheetId="14" hidden="1">0</definedName>
    <definedName name="solver_val" localSheetId="12" hidden="1">0</definedName>
    <definedName name="solver_val" localSheetId="25" hidden="1">0</definedName>
    <definedName name="solver_val" localSheetId="21" hidden="1">0</definedName>
    <definedName name="solver_val" localSheetId="19" hidden="1">0</definedName>
    <definedName name="solver_val" localSheetId="17" hidden="1">0</definedName>
    <definedName name="solver_val" localSheetId="0" hidden="1">0</definedName>
    <definedName name="solver_val" localSheetId="15" hidden="1">0</definedName>
    <definedName name="solver_val" localSheetId="27" hidden="1">0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23" hidden="1">3</definedName>
    <definedName name="solver_ver" localSheetId="8" hidden="1">3</definedName>
    <definedName name="solver_ver" localSheetId="10" hidden="1">3</definedName>
    <definedName name="solver_ver" localSheetId="14" hidden="1">3</definedName>
    <definedName name="solver_ver" localSheetId="12" hidden="1">3</definedName>
    <definedName name="solver_ver" localSheetId="25" hidden="1">3</definedName>
    <definedName name="solver_ver" localSheetId="21" hidden="1">3</definedName>
    <definedName name="solver_ver" localSheetId="19" hidden="1">3</definedName>
    <definedName name="solver_ver" localSheetId="17" hidden="1">3</definedName>
    <definedName name="solver_ver" localSheetId="0" hidden="1">3</definedName>
    <definedName name="solver_ver" localSheetId="15" hidden="1">3</definedName>
    <definedName name="solver_ver" localSheetId="27" hidden="1">3</definedName>
  </definedNames>
  <calcPr calcId="152511"/>
</workbook>
</file>

<file path=xl/calcChain.xml><?xml version="1.0" encoding="utf-8"?>
<calcChain xmlns="http://schemas.openxmlformats.org/spreadsheetml/2006/main">
  <c r="F13" i="142" l="1"/>
  <c r="G60" i="140" l="1"/>
  <c r="G59" i="140"/>
  <c r="G58" i="140"/>
  <c r="G57" i="140"/>
  <c r="F13" i="140"/>
  <c r="F12" i="134" l="1"/>
  <c r="F11" i="134"/>
  <c r="F12" i="136"/>
  <c r="F11" i="136"/>
  <c r="F12" i="138"/>
  <c r="F11" i="138"/>
  <c r="F12" i="140"/>
  <c r="G12" i="140" s="1"/>
  <c r="F11" i="140"/>
  <c r="F11" i="142"/>
  <c r="F12" i="142"/>
  <c r="A34" i="145"/>
  <c r="A33" i="145"/>
  <c r="A32" i="145"/>
  <c r="A31" i="145"/>
  <c r="A30" i="145"/>
  <c r="A29" i="145"/>
  <c r="A28" i="145"/>
  <c r="A27" i="145"/>
  <c r="A26" i="145"/>
  <c r="A25" i="145"/>
  <c r="A24" i="145"/>
  <c r="A23" i="145"/>
  <c r="A22" i="145"/>
  <c r="I8" i="145"/>
  <c r="C5" i="145"/>
  <c r="I9" i="145" s="1"/>
  <c r="C4" i="145"/>
  <c r="C3" i="145"/>
  <c r="I7" i="145" s="1"/>
  <c r="G56" i="144"/>
  <c r="G55" i="144"/>
  <c r="G54" i="144"/>
  <c r="G53" i="144"/>
  <c r="G52" i="144"/>
  <c r="G51" i="144"/>
  <c r="G50" i="144"/>
  <c r="G49" i="144"/>
  <c r="G48" i="144"/>
  <c r="G47" i="144"/>
  <c r="G46" i="144"/>
  <c r="G45" i="144"/>
  <c r="G44" i="144"/>
  <c r="G43" i="144"/>
  <c r="G42" i="144"/>
  <c r="G41" i="144"/>
  <c r="G40" i="144"/>
  <c r="G39" i="144"/>
  <c r="G38" i="144"/>
  <c r="G37" i="144"/>
  <c r="G36" i="144"/>
  <c r="G35" i="144"/>
  <c r="G34" i="144"/>
  <c r="G33" i="144"/>
  <c r="G32" i="144"/>
  <c r="G31" i="144"/>
  <c r="G30" i="144"/>
  <c r="E30" i="144"/>
  <c r="D30" i="144"/>
  <c r="G29" i="144"/>
  <c r="D29" i="144"/>
  <c r="E29" i="144" s="1"/>
  <c r="G28" i="144"/>
  <c r="E28" i="144"/>
  <c r="D28" i="144"/>
  <c r="G27" i="144"/>
  <c r="D27" i="144"/>
  <c r="E27" i="144" s="1"/>
  <c r="G26" i="144"/>
  <c r="E26" i="144"/>
  <c r="D26" i="144"/>
  <c r="G25" i="144"/>
  <c r="D25" i="144"/>
  <c r="E25" i="144" s="1"/>
  <c r="G24" i="144"/>
  <c r="E24" i="144"/>
  <c r="D24" i="144"/>
  <c r="G23" i="144"/>
  <c r="D23" i="144"/>
  <c r="E23" i="144" s="1"/>
  <c r="G22" i="144"/>
  <c r="E22" i="144"/>
  <c r="D22" i="144"/>
  <c r="G21" i="144"/>
  <c r="D21" i="144"/>
  <c r="E21" i="144" s="1"/>
  <c r="G20" i="144"/>
  <c r="E20" i="144"/>
  <c r="D20" i="144"/>
  <c r="G19" i="144"/>
  <c r="D19" i="144"/>
  <c r="E19" i="144" s="1"/>
  <c r="G18" i="144"/>
  <c r="E18" i="144"/>
  <c r="D18" i="144"/>
  <c r="C6" i="144"/>
  <c r="A34" i="143"/>
  <c r="A33" i="143"/>
  <c r="A32" i="143"/>
  <c r="A31" i="143"/>
  <c r="A30" i="143"/>
  <c r="A29" i="143"/>
  <c r="A28" i="143"/>
  <c r="A27" i="143"/>
  <c r="A26" i="143"/>
  <c r="A25" i="143"/>
  <c r="A24" i="143"/>
  <c r="A23" i="143"/>
  <c r="A22" i="143"/>
  <c r="C5" i="143"/>
  <c r="I9" i="143" s="1"/>
  <c r="C4" i="143"/>
  <c r="I8" i="143" s="1"/>
  <c r="C3" i="143"/>
  <c r="I7" i="143" s="1"/>
  <c r="G56" i="142"/>
  <c r="G55" i="142"/>
  <c r="G54" i="142"/>
  <c r="G53" i="142"/>
  <c r="G52" i="142"/>
  <c r="G51" i="142"/>
  <c r="G50" i="142"/>
  <c r="G49" i="142"/>
  <c r="G48" i="142"/>
  <c r="G47" i="142"/>
  <c r="G46" i="142"/>
  <c r="G45" i="142"/>
  <c r="G44" i="142"/>
  <c r="G43" i="142"/>
  <c r="G42" i="142"/>
  <c r="G41" i="142"/>
  <c r="G40" i="142"/>
  <c r="G39" i="142"/>
  <c r="G38" i="142"/>
  <c r="G37" i="142"/>
  <c r="G36" i="142"/>
  <c r="G35" i="142"/>
  <c r="G34" i="142"/>
  <c r="G33" i="142"/>
  <c r="G32" i="142"/>
  <c r="G31" i="142"/>
  <c r="G30" i="142"/>
  <c r="D30" i="142"/>
  <c r="E30" i="142" s="1"/>
  <c r="G29" i="142"/>
  <c r="D29" i="142"/>
  <c r="E29" i="142" s="1"/>
  <c r="G28" i="142"/>
  <c r="D28" i="142"/>
  <c r="E28" i="142" s="1"/>
  <c r="G27" i="142"/>
  <c r="D27" i="142"/>
  <c r="E27" i="142" s="1"/>
  <c r="G26" i="142"/>
  <c r="D26" i="142"/>
  <c r="E26" i="142" s="1"/>
  <c r="G25" i="142"/>
  <c r="D25" i="142"/>
  <c r="E25" i="142" s="1"/>
  <c r="G24" i="142"/>
  <c r="D24" i="142"/>
  <c r="E24" i="142" s="1"/>
  <c r="G23" i="142"/>
  <c r="D23" i="142"/>
  <c r="E23" i="142" s="1"/>
  <c r="G22" i="142"/>
  <c r="D22" i="142"/>
  <c r="E22" i="142" s="1"/>
  <c r="G21" i="142"/>
  <c r="D21" i="142"/>
  <c r="E21" i="142" s="1"/>
  <c r="G20" i="142"/>
  <c r="D20" i="142"/>
  <c r="E20" i="142" s="1"/>
  <c r="G19" i="142"/>
  <c r="D19" i="142"/>
  <c r="E19" i="142" s="1"/>
  <c r="G18" i="142"/>
  <c r="D18" i="142"/>
  <c r="E18" i="142" s="1"/>
  <c r="A34" i="141"/>
  <c r="A33" i="141"/>
  <c r="A32" i="141"/>
  <c r="A31" i="141"/>
  <c r="A30" i="141"/>
  <c r="A29" i="141"/>
  <c r="A28" i="141"/>
  <c r="A27" i="141"/>
  <c r="A26" i="141"/>
  <c r="A25" i="141"/>
  <c r="A24" i="141"/>
  <c r="A23" i="141"/>
  <c r="A22" i="141"/>
  <c r="C5" i="141"/>
  <c r="I9" i="141" s="1"/>
  <c r="C4" i="141"/>
  <c r="I8" i="141" s="1"/>
  <c r="C3" i="141"/>
  <c r="I7" i="141" s="1"/>
  <c r="G56" i="140"/>
  <c r="G55" i="140"/>
  <c r="G54" i="140"/>
  <c r="G53" i="140"/>
  <c r="G52" i="140"/>
  <c r="G51" i="140"/>
  <c r="G50" i="140"/>
  <c r="G49" i="140"/>
  <c r="G48" i="140"/>
  <c r="G47" i="140"/>
  <c r="G46" i="140"/>
  <c r="G45" i="140"/>
  <c r="G44" i="140"/>
  <c r="G43" i="140"/>
  <c r="G42" i="140"/>
  <c r="G41" i="140"/>
  <c r="G40" i="140"/>
  <c r="G39" i="140"/>
  <c r="G38" i="140"/>
  <c r="G37" i="140"/>
  <c r="G36" i="140"/>
  <c r="G35" i="140"/>
  <c r="G34" i="140"/>
  <c r="G33" i="140"/>
  <c r="G32" i="140"/>
  <c r="G31" i="140"/>
  <c r="G30" i="140"/>
  <c r="D30" i="140"/>
  <c r="E30" i="140" s="1"/>
  <c r="G29" i="140"/>
  <c r="D29" i="140"/>
  <c r="E29" i="140" s="1"/>
  <c r="G28" i="140"/>
  <c r="D28" i="140"/>
  <c r="E28" i="140" s="1"/>
  <c r="G27" i="140"/>
  <c r="D27" i="140"/>
  <c r="E27" i="140" s="1"/>
  <c r="G26" i="140"/>
  <c r="D26" i="140"/>
  <c r="E26" i="140" s="1"/>
  <c r="G25" i="140"/>
  <c r="D25" i="140"/>
  <c r="E25" i="140" s="1"/>
  <c r="G24" i="140"/>
  <c r="D24" i="140"/>
  <c r="E24" i="140" s="1"/>
  <c r="G23" i="140"/>
  <c r="D23" i="140"/>
  <c r="E23" i="140" s="1"/>
  <c r="G22" i="140"/>
  <c r="D22" i="140"/>
  <c r="E22" i="140" s="1"/>
  <c r="G21" i="140"/>
  <c r="D21" i="140"/>
  <c r="E21" i="140" s="1"/>
  <c r="G20" i="140"/>
  <c r="D20" i="140"/>
  <c r="E20" i="140" s="1"/>
  <c r="G19" i="140"/>
  <c r="D19" i="140"/>
  <c r="E19" i="140" s="1"/>
  <c r="G18" i="140"/>
  <c r="D18" i="140"/>
  <c r="E18" i="140" s="1"/>
  <c r="A34" i="139"/>
  <c r="A33" i="139"/>
  <c r="A32" i="139"/>
  <c r="A31" i="139"/>
  <c r="A30" i="139"/>
  <c r="A29" i="139"/>
  <c r="A28" i="139"/>
  <c r="A27" i="139"/>
  <c r="A26" i="139"/>
  <c r="A25" i="139"/>
  <c r="A24" i="139"/>
  <c r="A23" i="139"/>
  <c r="A22" i="139"/>
  <c r="C5" i="139"/>
  <c r="I9" i="139" s="1"/>
  <c r="C4" i="139"/>
  <c r="I8" i="139" s="1"/>
  <c r="C3" i="139"/>
  <c r="I7" i="139" s="1"/>
  <c r="G56" i="138"/>
  <c r="G55" i="138"/>
  <c r="G54" i="138"/>
  <c r="G53" i="138"/>
  <c r="G52" i="138"/>
  <c r="G51" i="138"/>
  <c r="G50" i="138"/>
  <c r="G49" i="138"/>
  <c r="G48" i="138"/>
  <c r="G47" i="138"/>
  <c r="G46" i="138"/>
  <c r="G45" i="138"/>
  <c r="G44" i="138"/>
  <c r="G43" i="138"/>
  <c r="G42" i="138"/>
  <c r="G41" i="138"/>
  <c r="G40" i="138"/>
  <c r="G39" i="138"/>
  <c r="G38" i="138"/>
  <c r="G37" i="138"/>
  <c r="G36" i="138"/>
  <c r="G35" i="138"/>
  <c r="G34" i="138"/>
  <c r="G33" i="138"/>
  <c r="G32" i="138"/>
  <c r="G31" i="138"/>
  <c r="G30" i="138"/>
  <c r="D30" i="138"/>
  <c r="E30" i="138" s="1"/>
  <c r="G29" i="138"/>
  <c r="D29" i="138"/>
  <c r="E29" i="138" s="1"/>
  <c r="G28" i="138"/>
  <c r="D28" i="138"/>
  <c r="E28" i="138" s="1"/>
  <c r="G27" i="138"/>
  <c r="D27" i="138"/>
  <c r="E27" i="138" s="1"/>
  <c r="G26" i="138"/>
  <c r="D26" i="138"/>
  <c r="E26" i="138" s="1"/>
  <c r="G25" i="138"/>
  <c r="D25" i="138"/>
  <c r="E25" i="138" s="1"/>
  <c r="G24" i="138"/>
  <c r="D24" i="138"/>
  <c r="E24" i="138" s="1"/>
  <c r="G23" i="138"/>
  <c r="D23" i="138"/>
  <c r="E23" i="138" s="1"/>
  <c r="G22" i="138"/>
  <c r="D22" i="138"/>
  <c r="E22" i="138" s="1"/>
  <c r="G21" i="138"/>
  <c r="D21" i="138"/>
  <c r="E21" i="138" s="1"/>
  <c r="G20" i="138"/>
  <c r="D20" i="138"/>
  <c r="E20" i="138" s="1"/>
  <c r="G19" i="138"/>
  <c r="D19" i="138"/>
  <c r="E19" i="138" s="1"/>
  <c r="G18" i="138"/>
  <c r="D18" i="138"/>
  <c r="E18" i="138" s="1"/>
  <c r="A34" i="137"/>
  <c r="A33" i="137"/>
  <c r="A32" i="137"/>
  <c r="A31" i="137"/>
  <c r="A30" i="137"/>
  <c r="A29" i="137"/>
  <c r="A28" i="137"/>
  <c r="A27" i="137"/>
  <c r="A26" i="137"/>
  <c r="A25" i="137"/>
  <c r="A24" i="137"/>
  <c r="A23" i="137"/>
  <c r="A22" i="137"/>
  <c r="C5" i="137"/>
  <c r="I9" i="137" s="1"/>
  <c r="C4" i="137"/>
  <c r="I8" i="137" s="1"/>
  <c r="C3" i="137"/>
  <c r="I7" i="137" s="1"/>
  <c r="G56" i="136"/>
  <c r="G55" i="136"/>
  <c r="G54" i="136"/>
  <c r="G53" i="136"/>
  <c r="G52" i="136"/>
  <c r="G51" i="136"/>
  <c r="G50" i="136"/>
  <c r="G49" i="136"/>
  <c r="G48" i="136"/>
  <c r="G47" i="136"/>
  <c r="G46" i="136"/>
  <c r="G45" i="136"/>
  <c r="G44" i="136"/>
  <c r="G43" i="136"/>
  <c r="G42" i="136"/>
  <c r="G41" i="136"/>
  <c r="G40" i="136"/>
  <c r="G39" i="136"/>
  <c r="G38" i="136"/>
  <c r="G37" i="136"/>
  <c r="G36" i="136"/>
  <c r="G35" i="136"/>
  <c r="G34" i="136"/>
  <c r="G33" i="136"/>
  <c r="G32" i="136"/>
  <c r="G31" i="136"/>
  <c r="G30" i="136"/>
  <c r="D30" i="136"/>
  <c r="E30" i="136" s="1"/>
  <c r="G29" i="136"/>
  <c r="D29" i="136"/>
  <c r="E29" i="136" s="1"/>
  <c r="G28" i="136"/>
  <c r="D28" i="136"/>
  <c r="E28" i="136" s="1"/>
  <c r="G27" i="136"/>
  <c r="D27" i="136"/>
  <c r="E27" i="136" s="1"/>
  <c r="G26" i="136"/>
  <c r="D26" i="136"/>
  <c r="E26" i="136" s="1"/>
  <c r="G25" i="136"/>
  <c r="D25" i="136"/>
  <c r="E25" i="136" s="1"/>
  <c r="G24" i="136"/>
  <c r="D24" i="136"/>
  <c r="E24" i="136" s="1"/>
  <c r="G23" i="136"/>
  <c r="D23" i="136"/>
  <c r="E23" i="136" s="1"/>
  <c r="G22" i="136"/>
  <c r="D22" i="136"/>
  <c r="E22" i="136" s="1"/>
  <c r="G21" i="136"/>
  <c r="D21" i="136"/>
  <c r="E21" i="136" s="1"/>
  <c r="G20" i="136"/>
  <c r="D20" i="136"/>
  <c r="E20" i="136" s="1"/>
  <c r="G19" i="136"/>
  <c r="D19" i="136"/>
  <c r="E19" i="136" s="1"/>
  <c r="G18" i="136"/>
  <c r="D18" i="136"/>
  <c r="E18" i="136" s="1"/>
  <c r="A34" i="135"/>
  <c r="A33" i="135"/>
  <c r="A32" i="135"/>
  <c r="A31" i="135"/>
  <c r="A30" i="135"/>
  <c r="A29" i="135"/>
  <c r="A28" i="135"/>
  <c r="A27" i="135"/>
  <c r="A26" i="135"/>
  <c r="A25" i="135"/>
  <c r="A24" i="135"/>
  <c r="A23" i="135"/>
  <c r="A22" i="135"/>
  <c r="C5" i="135"/>
  <c r="I9" i="135" s="1"/>
  <c r="C4" i="135"/>
  <c r="I8" i="135" s="1"/>
  <c r="C3" i="135"/>
  <c r="I7" i="135" s="1"/>
  <c r="G56" i="134"/>
  <c r="G55" i="134"/>
  <c r="G54" i="134"/>
  <c r="G53" i="134"/>
  <c r="G52" i="134"/>
  <c r="G51" i="134"/>
  <c r="G50" i="134"/>
  <c r="G49" i="134"/>
  <c r="G48" i="134"/>
  <c r="G47" i="134"/>
  <c r="G46" i="134"/>
  <c r="G45" i="134"/>
  <c r="G44" i="134"/>
  <c r="G43" i="134"/>
  <c r="G42" i="134"/>
  <c r="G41" i="134"/>
  <c r="G40" i="134"/>
  <c r="G39" i="134"/>
  <c r="G38" i="134"/>
  <c r="G37" i="134"/>
  <c r="G36" i="134"/>
  <c r="G35" i="134"/>
  <c r="G34" i="134"/>
  <c r="G33" i="134"/>
  <c r="G32" i="134"/>
  <c r="G31" i="134"/>
  <c r="G30" i="134"/>
  <c r="D30" i="134"/>
  <c r="E30" i="134" s="1"/>
  <c r="G29" i="134"/>
  <c r="D29" i="134"/>
  <c r="E29" i="134" s="1"/>
  <c r="G28" i="134"/>
  <c r="D28" i="134"/>
  <c r="E28" i="134" s="1"/>
  <c r="G27" i="134"/>
  <c r="D27" i="134"/>
  <c r="E27" i="134" s="1"/>
  <c r="G26" i="134"/>
  <c r="D26" i="134"/>
  <c r="E26" i="134" s="1"/>
  <c r="G25" i="134"/>
  <c r="D25" i="134"/>
  <c r="E25" i="134" s="1"/>
  <c r="G24" i="134"/>
  <c r="D24" i="134"/>
  <c r="E24" i="134" s="1"/>
  <c r="G23" i="134"/>
  <c r="D23" i="134"/>
  <c r="E23" i="134" s="1"/>
  <c r="G22" i="134"/>
  <c r="D22" i="134"/>
  <c r="E22" i="134" s="1"/>
  <c r="G21" i="134"/>
  <c r="D21" i="134"/>
  <c r="E21" i="134" s="1"/>
  <c r="G20" i="134"/>
  <c r="D20" i="134"/>
  <c r="E20" i="134" s="1"/>
  <c r="G19" i="134"/>
  <c r="D19" i="134"/>
  <c r="E19" i="134" s="1"/>
  <c r="G18" i="134"/>
  <c r="D18" i="134"/>
  <c r="E18" i="134" s="1"/>
  <c r="A34" i="133"/>
  <c r="A33" i="133"/>
  <c r="A32" i="133"/>
  <c r="A31" i="133"/>
  <c r="A30" i="133"/>
  <c r="A29" i="133"/>
  <c r="A28" i="133"/>
  <c r="A27" i="133"/>
  <c r="A26" i="133"/>
  <c r="A25" i="133"/>
  <c r="A24" i="133"/>
  <c r="A23" i="133"/>
  <c r="A22" i="133"/>
  <c r="C5" i="133"/>
  <c r="I9" i="133" s="1"/>
  <c r="C4" i="133"/>
  <c r="I8" i="133" s="1"/>
  <c r="C3" i="133"/>
  <c r="I7" i="133" s="1"/>
  <c r="G56" i="132"/>
  <c r="G55" i="132"/>
  <c r="G54" i="132"/>
  <c r="G53" i="132"/>
  <c r="G52" i="132"/>
  <c r="G51" i="132"/>
  <c r="G50" i="132"/>
  <c r="G49" i="132"/>
  <c r="G48" i="132"/>
  <c r="G47" i="132"/>
  <c r="G46" i="132"/>
  <c r="G45" i="132"/>
  <c r="G44" i="132"/>
  <c r="G43" i="132"/>
  <c r="G42" i="132"/>
  <c r="G41" i="132"/>
  <c r="G40" i="132"/>
  <c r="G39" i="132"/>
  <c r="G38" i="132"/>
  <c r="G37" i="132"/>
  <c r="G36" i="132"/>
  <c r="G35" i="132"/>
  <c r="G34" i="132"/>
  <c r="G33" i="132"/>
  <c r="G32" i="132"/>
  <c r="G31" i="132"/>
  <c r="G30" i="132"/>
  <c r="D30" i="132"/>
  <c r="E30" i="132" s="1"/>
  <c r="G29" i="132"/>
  <c r="D29" i="132"/>
  <c r="E29" i="132" s="1"/>
  <c r="G28" i="132"/>
  <c r="D28" i="132"/>
  <c r="E28" i="132" s="1"/>
  <c r="G27" i="132"/>
  <c r="D27" i="132"/>
  <c r="E27" i="132" s="1"/>
  <c r="G26" i="132"/>
  <c r="D26" i="132"/>
  <c r="E26" i="132" s="1"/>
  <c r="G25" i="132"/>
  <c r="D25" i="132"/>
  <c r="E25" i="132" s="1"/>
  <c r="G24" i="132"/>
  <c r="D24" i="132"/>
  <c r="E24" i="132" s="1"/>
  <c r="G23" i="132"/>
  <c r="D23" i="132"/>
  <c r="E23" i="132" s="1"/>
  <c r="G22" i="132"/>
  <c r="D22" i="132"/>
  <c r="E22" i="132" s="1"/>
  <c r="G21" i="132"/>
  <c r="D21" i="132"/>
  <c r="E21" i="132" s="1"/>
  <c r="G20" i="132"/>
  <c r="D20" i="132"/>
  <c r="E20" i="132" s="1"/>
  <c r="G19" i="132"/>
  <c r="D19" i="132"/>
  <c r="E19" i="132" s="1"/>
  <c r="G18" i="132"/>
  <c r="D18" i="132"/>
  <c r="E18" i="132" s="1"/>
  <c r="B34" i="145"/>
  <c r="D33" i="145"/>
  <c r="D32" i="145"/>
  <c r="D31" i="145"/>
  <c r="D30" i="145"/>
  <c r="D29" i="145"/>
  <c r="D28" i="145"/>
  <c r="D27" i="145"/>
  <c r="D26" i="145"/>
  <c r="D25" i="145"/>
  <c r="D24" i="145"/>
  <c r="D23" i="145"/>
  <c r="D22" i="145"/>
  <c r="C33" i="145"/>
  <c r="C32" i="145"/>
  <c r="C31" i="145"/>
  <c r="C30" i="145"/>
  <c r="C29" i="145"/>
  <c r="C28" i="145"/>
  <c r="C27" i="145"/>
  <c r="C26" i="145"/>
  <c r="C25" i="145"/>
  <c r="C24" i="145"/>
  <c r="C23" i="145"/>
  <c r="C22" i="145"/>
  <c r="D34" i="145"/>
  <c r="B33" i="145"/>
  <c r="B32" i="145"/>
  <c r="B31" i="145"/>
  <c r="B30" i="145"/>
  <c r="B29" i="145"/>
  <c r="B28" i="145"/>
  <c r="B27" i="145"/>
  <c r="B26" i="145"/>
  <c r="B25" i="145"/>
  <c r="B24" i="145"/>
  <c r="B23" i="145"/>
  <c r="B22" i="145"/>
  <c r="C34" i="145"/>
  <c r="D34" i="143"/>
  <c r="B30" i="143"/>
  <c r="B26" i="143"/>
  <c r="B22" i="143"/>
  <c r="D33" i="143"/>
  <c r="D29" i="143"/>
  <c r="D25" i="143"/>
  <c r="C30" i="143"/>
  <c r="C25" i="143"/>
  <c r="B33" i="143"/>
  <c r="B29" i="143"/>
  <c r="B25" i="143"/>
  <c r="C34" i="143"/>
  <c r="D32" i="143"/>
  <c r="D28" i="143"/>
  <c r="D24" i="143"/>
  <c r="C33" i="143"/>
  <c r="C29" i="143"/>
  <c r="B32" i="143"/>
  <c r="B28" i="143"/>
  <c r="B24" i="143"/>
  <c r="D31" i="143"/>
  <c r="D27" i="143"/>
  <c r="D23" i="143"/>
  <c r="C32" i="143"/>
  <c r="C28" i="143"/>
  <c r="C24" i="143"/>
  <c r="C26" i="143"/>
  <c r="B31" i="143"/>
  <c r="B27" i="143"/>
  <c r="B23" i="143"/>
  <c r="B34" i="143"/>
  <c r="D30" i="143"/>
  <c r="D26" i="143"/>
  <c r="D22" i="143"/>
  <c r="C31" i="143"/>
  <c r="C27" i="143"/>
  <c r="C23" i="143"/>
  <c r="C22" i="143"/>
  <c r="D31" i="141"/>
  <c r="D27" i="141"/>
  <c r="D23" i="141"/>
  <c r="C29" i="141"/>
  <c r="B31" i="141"/>
  <c r="B34" i="141"/>
  <c r="D30" i="141"/>
  <c r="D26" i="141"/>
  <c r="D22" i="141"/>
  <c r="C32" i="141"/>
  <c r="C28" i="141"/>
  <c r="C24" i="141"/>
  <c r="D34" i="141"/>
  <c r="B30" i="141"/>
  <c r="B26" i="141"/>
  <c r="B22" i="141"/>
  <c r="C27" i="141"/>
  <c r="B33" i="141"/>
  <c r="B25" i="141"/>
  <c r="D33" i="141"/>
  <c r="D29" i="141"/>
  <c r="D25" i="141"/>
  <c r="C31" i="141"/>
  <c r="C23" i="141"/>
  <c r="B29" i="141"/>
  <c r="C34" i="141"/>
  <c r="D32" i="141"/>
  <c r="D28" i="141"/>
  <c r="D24" i="141"/>
  <c r="C30" i="141"/>
  <c r="C26" i="141"/>
  <c r="C22" i="141"/>
  <c r="B32" i="141"/>
  <c r="B28" i="141"/>
  <c r="B24" i="141"/>
  <c r="C33" i="141"/>
  <c r="C25" i="141"/>
  <c r="B27" i="141"/>
  <c r="B23" i="141"/>
  <c r="D33" i="139"/>
  <c r="D29" i="139"/>
  <c r="D25" i="139"/>
  <c r="C31" i="139"/>
  <c r="C27" i="139"/>
  <c r="C23" i="139"/>
  <c r="D34" i="139"/>
  <c r="B30" i="139"/>
  <c r="B22" i="139"/>
  <c r="D32" i="139"/>
  <c r="D28" i="139"/>
  <c r="D24" i="139"/>
  <c r="C30" i="139"/>
  <c r="C26" i="139"/>
  <c r="C22" i="139"/>
  <c r="B33" i="139"/>
  <c r="B29" i="139"/>
  <c r="B25" i="139"/>
  <c r="B24" i="139"/>
  <c r="D31" i="139"/>
  <c r="D27" i="139"/>
  <c r="D23" i="139"/>
  <c r="C33" i="139"/>
  <c r="C29" i="139"/>
  <c r="C25" i="139"/>
  <c r="B32" i="139"/>
  <c r="B28" i="139"/>
  <c r="B34" i="139"/>
  <c r="D30" i="139"/>
  <c r="D26" i="139"/>
  <c r="D22" i="139"/>
  <c r="C32" i="139"/>
  <c r="C28" i="139"/>
  <c r="C24" i="139"/>
  <c r="B31" i="139"/>
  <c r="B27" i="139"/>
  <c r="B23" i="139"/>
  <c r="C34" i="139"/>
  <c r="B26" i="139"/>
  <c r="C34" i="137"/>
  <c r="D31" i="137"/>
  <c r="D27" i="137"/>
  <c r="D23" i="137"/>
  <c r="C31" i="137"/>
  <c r="C27" i="137"/>
  <c r="B32" i="137"/>
  <c r="B24" i="137"/>
  <c r="B34" i="137"/>
  <c r="D30" i="137"/>
  <c r="D26" i="137"/>
  <c r="D22" i="137"/>
  <c r="C30" i="137"/>
  <c r="C26" i="137"/>
  <c r="C22" i="137"/>
  <c r="B31" i="137"/>
  <c r="B27" i="137"/>
  <c r="B23" i="137"/>
  <c r="B30" i="137"/>
  <c r="B22" i="137"/>
  <c r="D33" i="137"/>
  <c r="D29" i="137"/>
  <c r="D25" i="137"/>
  <c r="C33" i="137"/>
  <c r="C29" i="137"/>
  <c r="C25" i="137"/>
  <c r="D34" i="137"/>
  <c r="B26" i="137"/>
  <c r="D32" i="137"/>
  <c r="D28" i="137"/>
  <c r="D24" i="137"/>
  <c r="C32" i="137"/>
  <c r="C28" i="137"/>
  <c r="C24" i="137"/>
  <c r="B33" i="137"/>
  <c r="B29" i="137"/>
  <c r="B25" i="137"/>
  <c r="C23" i="137"/>
  <c r="B28" i="137"/>
  <c r="C30" i="135"/>
  <c r="C26" i="135"/>
  <c r="C22" i="135"/>
  <c r="B32" i="135"/>
  <c r="B28" i="135"/>
  <c r="B24" i="135"/>
  <c r="D31" i="135"/>
  <c r="D27" i="135"/>
  <c r="C33" i="135"/>
  <c r="C29" i="135"/>
  <c r="C25" i="135"/>
  <c r="B31" i="135"/>
  <c r="B27" i="135"/>
  <c r="B23" i="135"/>
  <c r="B34" i="135"/>
  <c r="D30" i="135"/>
  <c r="D26" i="135"/>
  <c r="D22" i="135"/>
  <c r="D29" i="135"/>
  <c r="C32" i="135"/>
  <c r="C28" i="135"/>
  <c r="C24" i="135"/>
  <c r="D34" i="135"/>
  <c r="B30" i="135"/>
  <c r="B26" i="135"/>
  <c r="B22" i="135"/>
  <c r="D33" i="135"/>
  <c r="D25" i="135"/>
  <c r="C31" i="135"/>
  <c r="C27" i="135"/>
  <c r="C23" i="135"/>
  <c r="B33" i="135"/>
  <c r="B29" i="135"/>
  <c r="B25" i="135"/>
  <c r="C34" i="135"/>
  <c r="D32" i="135"/>
  <c r="D28" i="135"/>
  <c r="D24" i="135"/>
  <c r="D23" i="135"/>
  <c r="D32" i="133"/>
  <c r="D28" i="133"/>
  <c r="D24" i="133"/>
  <c r="C33" i="133"/>
  <c r="C29" i="133"/>
  <c r="B32" i="133"/>
  <c r="B24" i="133"/>
  <c r="D31" i="133"/>
  <c r="D27" i="133"/>
  <c r="D23" i="133"/>
  <c r="C32" i="133"/>
  <c r="C28" i="133"/>
  <c r="C24" i="133"/>
  <c r="B31" i="133"/>
  <c r="B27" i="133"/>
  <c r="B23" i="133"/>
  <c r="C27" i="133"/>
  <c r="D34" i="133"/>
  <c r="B22" i="133"/>
  <c r="B34" i="133"/>
  <c r="D30" i="133"/>
  <c r="D26" i="133"/>
  <c r="D22" i="133"/>
  <c r="C31" i="133"/>
  <c r="C23" i="133"/>
  <c r="B30" i="133"/>
  <c r="C34" i="133"/>
  <c r="D33" i="133"/>
  <c r="D29" i="133"/>
  <c r="D25" i="133"/>
  <c r="C30" i="133"/>
  <c r="C26" i="133"/>
  <c r="C22" i="133"/>
  <c r="B33" i="133"/>
  <c r="B29" i="133"/>
  <c r="B25" i="133"/>
  <c r="C25" i="133"/>
  <c r="B28" i="133"/>
  <c r="B26" i="133"/>
  <c r="C6" i="140" l="1"/>
  <c r="D6" i="140"/>
  <c r="D8" i="140" s="1"/>
  <c r="D2" i="141" s="1"/>
  <c r="D6" i="138"/>
  <c r="D8" i="138" s="1"/>
  <c r="D2" i="139" s="1"/>
  <c r="C6" i="136"/>
  <c r="E6" i="136" s="1"/>
  <c r="D6" i="136"/>
  <c r="D8" i="136" s="1"/>
  <c r="D2" i="137" s="1"/>
  <c r="D6" i="134"/>
  <c r="D8" i="134" s="1"/>
  <c r="D2" i="135" s="1"/>
  <c r="G33" i="133" a="1"/>
  <c r="G33" i="137" a="1"/>
  <c r="G33" i="135" a="1"/>
  <c r="G33" i="141" a="1"/>
  <c r="G33" i="139" a="1"/>
  <c r="G33" i="145" a="1"/>
  <c r="G33" i="143" a="1"/>
  <c r="D6" i="132"/>
  <c r="D8" i="132" s="1"/>
  <c r="D2" i="133" s="1"/>
  <c r="C6" i="132"/>
  <c r="E6" i="132" s="1"/>
  <c r="D6" i="144"/>
  <c r="D8" i="144" s="1"/>
  <c r="D2" i="145" s="1"/>
  <c r="D6" i="142"/>
  <c r="D8" i="142" s="1"/>
  <c r="D2" i="143" s="1"/>
  <c r="C6" i="134"/>
  <c r="C6" i="138"/>
  <c r="C6" i="142"/>
  <c r="G12" i="130"/>
  <c r="G11" i="130"/>
  <c r="F12" i="130"/>
  <c r="F11" i="130"/>
  <c r="F11" i="125"/>
  <c r="F12" i="125"/>
  <c r="F11" i="123"/>
  <c r="F12" i="123"/>
  <c r="F12" i="78"/>
  <c r="A28" i="131"/>
  <c r="A29" i="131"/>
  <c r="A30" i="131"/>
  <c r="A23" i="131"/>
  <c r="A24" i="131"/>
  <c r="A25" i="131"/>
  <c r="A26" i="131"/>
  <c r="A27" i="131"/>
  <c r="G18" i="130"/>
  <c r="G19" i="130"/>
  <c r="G20" i="130"/>
  <c r="G21" i="130"/>
  <c r="G22" i="130"/>
  <c r="G23" i="130"/>
  <c r="G24" i="130"/>
  <c r="G25" i="130"/>
  <c r="G26" i="130"/>
  <c r="G27" i="130"/>
  <c r="G28" i="130"/>
  <c r="G29" i="130"/>
  <c r="G30" i="130"/>
  <c r="G31" i="130"/>
  <c r="B19" i="130"/>
  <c r="B20" i="130"/>
  <c r="B21" i="130"/>
  <c r="B22" i="130"/>
  <c r="D22" i="130" s="1"/>
  <c r="E22" i="130" s="1"/>
  <c r="B23" i="130"/>
  <c r="B24" i="130"/>
  <c r="B25" i="130"/>
  <c r="B26" i="130"/>
  <c r="D26" i="130" s="1"/>
  <c r="E26" i="130" s="1"/>
  <c r="B18" i="130"/>
  <c r="A22" i="131"/>
  <c r="C5" i="131"/>
  <c r="I9" i="131" s="1"/>
  <c r="C4" i="131"/>
  <c r="I8" i="131" s="1"/>
  <c r="C3" i="131"/>
  <c r="I7" i="131" s="1"/>
  <c r="G103" i="130"/>
  <c r="G102" i="130"/>
  <c r="G101" i="130"/>
  <c r="G100" i="130"/>
  <c r="G99" i="130"/>
  <c r="G98" i="130"/>
  <c r="G97" i="130"/>
  <c r="G96" i="130"/>
  <c r="G95" i="130"/>
  <c r="G94" i="130"/>
  <c r="G93" i="130"/>
  <c r="G92" i="130"/>
  <c r="G91" i="130"/>
  <c r="G90" i="130"/>
  <c r="G89" i="130"/>
  <c r="G88" i="130"/>
  <c r="G87" i="130"/>
  <c r="G86" i="130"/>
  <c r="G85" i="130"/>
  <c r="G84" i="130"/>
  <c r="G83" i="130"/>
  <c r="G82" i="130"/>
  <c r="G81" i="130"/>
  <c r="G80" i="130"/>
  <c r="G79" i="130"/>
  <c r="G78" i="130"/>
  <c r="G77" i="130"/>
  <c r="G76" i="130"/>
  <c r="G75" i="130"/>
  <c r="G74" i="130"/>
  <c r="G73" i="130"/>
  <c r="G72" i="130"/>
  <c r="G71" i="130"/>
  <c r="G70" i="130"/>
  <c r="G69" i="130"/>
  <c r="G68" i="130"/>
  <c r="G67" i="130"/>
  <c r="G66" i="130"/>
  <c r="G65" i="130"/>
  <c r="G64" i="130"/>
  <c r="G63" i="130"/>
  <c r="G62" i="130"/>
  <c r="G61" i="130"/>
  <c r="G60" i="130"/>
  <c r="G59" i="130"/>
  <c r="G58" i="130"/>
  <c r="G57" i="130"/>
  <c r="G56" i="130"/>
  <c r="G55" i="130"/>
  <c r="G54" i="130"/>
  <c r="G53" i="130"/>
  <c r="G52" i="130"/>
  <c r="G51" i="130"/>
  <c r="G50" i="130"/>
  <c r="G49" i="130"/>
  <c r="G48" i="130"/>
  <c r="G47" i="130"/>
  <c r="G46" i="130"/>
  <c r="G45" i="130"/>
  <c r="G44" i="130"/>
  <c r="G43" i="130"/>
  <c r="G42" i="130"/>
  <c r="G41" i="130"/>
  <c r="G40" i="130"/>
  <c r="G39" i="130"/>
  <c r="G38" i="130"/>
  <c r="G37" i="130"/>
  <c r="G36" i="130"/>
  <c r="G35" i="130"/>
  <c r="G34" i="130"/>
  <c r="G33" i="130"/>
  <c r="G32" i="130"/>
  <c r="D25" i="130"/>
  <c r="E25" i="130" s="1"/>
  <c r="D24" i="130"/>
  <c r="E24" i="130" s="1"/>
  <c r="D23" i="130"/>
  <c r="E23" i="130" s="1"/>
  <c r="D21" i="130"/>
  <c r="E21" i="130" s="1"/>
  <c r="D20" i="130"/>
  <c r="E20" i="130" s="1"/>
  <c r="D19" i="130"/>
  <c r="E19" i="130" s="1"/>
  <c r="D18" i="130"/>
  <c r="E18" i="130" s="1"/>
  <c r="D28" i="131"/>
  <c r="D27" i="131"/>
  <c r="D29" i="131"/>
  <c r="C28" i="131"/>
  <c r="D30" i="131"/>
  <c r="D24" i="131"/>
  <c r="B26" i="131"/>
  <c r="C27" i="131"/>
  <c r="D22" i="131"/>
  <c r="B28" i="131"/>
  <c r="C29" i="131"/>
  <c r="B25" i="131"/>
  <c r="D26" i="131"/>
  <c r="B27" i="131"/>
  <c r="D23" i="131"/>
  <c r="B29" i="131"/>
  <c r="C30" i="131"/>
  <c r="C24" i="131"/>
  <c r="B23" i="131"/>
  <c r="C23" i="131"/>
  <c r="D25" i="131"/>
  <c r="B22" i="131"/>
  <c r="B30" i="131"/>
  <c r="C26" i="131"/>
  <c r="B24" i="131"/>
  <c r="C25" i="131"/>
  <c r="C22" i="131"/>
  <c r="E6" i="142" l="1"/>
  <c r="F6" i="142" s="1"/>
  <c r="C8" i="142" s="1"/>
  <c r="E6" i="140"/>
  <c r="E8" i="140" s="1"/>
  <c r="F8" i="140" s="1"/>
  <c r="E6" i="138"/>
  <c r="F6" i="138" s="1"/>
  <c r="C8" i="138" s="1"/>
  <c r="E6" i="134"/>
  <c r="E8" i="134" s="1"/>
  <c r="F8" i="134" s="1"/>
  <c r="G33" i="131" a="1"/>
  <c r="G33" i="131" s="1"/>
  <c r="E6" i="144"/>
  <c r="E8" i="132"/>
  <c r="F8" i="132" s="1"/>
  <c r="F6" i="132"/>
  <c r="C8" i="132" s="1"/>
  <c r="H35" i="141"/>
  <c r="G34" i="141"/>
  <c r="G35" i="141"/>
  <c r="I33" i="141"/>
  <c r="I34" i="141"/>
  <c r="H33" i="141"/>
  <c r="I35" i="141"/>
  <c r="H34" i="141"/>
  <c r="G33" i="141"/>
  <c r="I35" i="143"/>
  <c r="H34" i="143"/>
  <c r="G33" i="143"/>
  <c r="H35" i="143"/>
  <c r="G34" i="143"/>
  <c r="G35" i="143"/>
  <c r="I33" i="143"/>
  <c r="I34" i="143"/>
  <c r="H33" i="143"/>
  <c r="I34" i="135"/>
  <c r="H33" i="135"/>
  <c r="I35" i="135"/>
  <c r="H34" i="135"/>
  <c r="G33" i="135"/>
  <c r="H35" i="135"/>
  <c r="G34" i="135"/>
  <c r="G35" i="135"/>
  <c r="I33" i="135"/>
  <c r="E8" i="136"/>
  <c r="F8" i="136" s="1"/>
  <c r="F6" i="136"/>
  <c r="C8" i="136" s="1"/>
  <c r="G35" i="145"/>
  <c r="I33" i="145"/>
  <c r="I34" i="145"/>
  <c r="H33" i="145"/>
  <c r="I35" i="145"/>
  <c r="H34" i="145"/>
  <c r="G33" i="145"/>
  <c r="G43" i="145" s="1" a="1"/>
  <c r="H35" i="145"/>
  <c r="G34" i="145"/>
  <c r="H35" i="137"/>
  <c r="G34" i="137"/>
  <c r="G35" i="137"/>
  <c r="I33" i="137"/>
  <c r="I34" i="137"/>
  <c r="H33" i="137"/>
  <c r="I35" i="137"/>
  <c r="H34" i="137"/>
  <c r="G33" i="137"/>
  <c r="G35" i="139"/>
  <c r="I33" i="139"/>
  <c r="I34" i="139"/>
  <c r="H33" i="139"/>
  <c r="I35" i="139"/>
  <c r="H34" i="139"/>
  <c r="G33" i="139"/>
  <c r="H35" i="139"/>
  <c r="G34" i="139"/>
  <c r="H35" i="133"/>
  <c r="G34" i="133"/>
  <c r="G35" i="133"/>
  <c r="I33" i="133"/>
  <c r="I34" i="133"/>
  <c r="H33" i="133"/>
  <c r="I35" i="133"/>
  <c r="H34" i="133"/>
  <c r="G33" i="133"/>
  <c r="G34" i="131"/>
  <c r="I33" i="131"/>
  <c r="I34" i="131"/>
  <c r="H33" i="131"/>
  <c r="H35" i="131"/>
  <c r="G35" i="131"/>
  <c r="I35" i="131"/>
  <c r="H34" i="131"/>
  <c r="D6" i="130"/>
  <c r="D8" i="130" s="1"/>
  <c r="D2" i="131" s="1"/>
  <c r="C6" i="130"/>
  <c r="D18" i="127"/>
  <c r="D18" i="121"/>
  <c r="D26" i="127"/>
  <c r="A23" i="128"/>
  <c r="A24" i="128"/>
  <c r="A25" i="128"/>
  <c r="A26" i="128"/>
  <c r="A27" i="128"/>
  <c r="A23" i="126"/>
  <c r="A24" i="126"/>
  <c r="A25" i="126"/>
  <c r="A26" i="126"/>
  <c r="A27" i="126"/>
  <c r="A28" i="126"/>
  <c r="G20" i="125"/>
  <c r="G21" i="125"/>
  <c r="G22" i="125"/>
  <c r="G23" i="125"/>
  <c r="G24" i="125"/>
  <c r="G25" i="125"/>
  <c r="G26" i="125"/>
  <c r="G27" i="125"/>
  <c r="G28" i="125"/>
  <c r="G29" i="125"/>
  <c r="G30" i="125"/>
  <c r="G31" i="125"/>
  <c r="G32" i="125"/>
  <c r="G33" i="125"/>
  <c r="G34" i="125"/>
  <c r="G35" i="125"/>
  <c r="G36" i="125"/>
  <c r="G37" i="125"/>
  <c r="G38" i="125"/>
  <c r="G39" i="125"/>
  <c r="G40" i="125"/>
  <c r="G41" i="125"/>
  <c r="G42" i="125"/>
  <c r="G43" i="125"/>
  <c r="G44" i="125"/>
  <c r="G45" i="125"/>
  <c r="G46" i="125"/>
  <c r="G47" i="125"/>
  <c r="G48" i="125"/>
  <c r="G49" i="125"/>
  <c r="G50" i="125"/>
  <c r="G51" i="125"/>
  <c r="G52" i="125"/>
  <c r="G53" i="125"/>
  <c r="G54" i="125"/>
  <c r="G55" i="125"/>
  <c r="G56" i="125"/>
  <c r="G57" i="125"/>
  <c r="G58" i="125"/>
  <c r="G59" i="125"/>
  <c r="G60" i="125"/>
  <c r="G61" i="125"/>
  <c r="G62" i="125"/>
  <c r="G63" i="125"/>
  <c r="G64" i="125"/>
  <c r="E8" i="142" l="1"/>
  <c r="F8" i="142" s="1"/>
  <c r="F6" i="140"/>
  <c r="C8" i="140" s="1"/>
  <c r="G43" i="141" a="1"/>
  <c r="H44" i="141" s="1"/>
  <c r="D4" i="141" s="1"/>
  <c r="F4" i="141" s="1"/>
  <c r="E12" i="140" s="1"/>
  <c r="E8" i="138"/>
  <c r="F8" i="138" s="1"/>
  <c r="F6" i="134"/>
  <c r="C8" i="134" s="1"/>
  <c r="G43" i="137" a="1"/>
  <c r="G43" i="139" a="1"/>
  <c r="G43" i="143" a="1"/>
  <c r="G43" i="133" a="1"/>
  <c r="G43" i="135" a="1"/>
  <c r="F6" i="144"/>
  <c r="C8" i="144" s="1"/>
  <c r="E8" i="144"/>
  <c r="F8" i="144" s="1"/>
  <c r="I45" i="145"/>
  <c r="D5" i="145" s="1"/>
  <c r="F5" i="145" s="1"/>
  <c r="E13" i="144" s="1"/>
  <c r="H44" i="145"/>
  <c r="D4" i="145" s="1"/>
  <c r="F4" i="145" s="1"/>
  <c r="E12" i="144" s="1"/>
  <c r="G43" i="145"/>
  <c r="D3" i="145" s="1"/>
  <c r="H45" i="145"/>
  <c r="G44" i="145"/>
  <c r="G45" i="145"/>
  <c r="I43" i="145"/>
  <c r="I44" i="145"/>
  <c r="H43" i="145"/>
  <c r="E6" i="130"/>
  <c r="F6" i="130" s="1"/>
  <c r="C8" i="130" s="1"/>
  <c r="D21" i="127"/>
  <c r="E21" i="127" s="1"/>
  <c r="D22" i="127"/>
  <c r="E22" i="127" s="1"/>
  <c r="D23" i="127"/>
  <c r="E23" i="127" s="1"/>
  <c r="D24" i="127"/>
  <c r="E24" i="127" s="1"/>
  <c r="D25" i="127"/>
  <c r="E25" i="127" s="1"/>
  <c r="E26" i="127"/>
  <c r="G70" i="127"/>
  <c r="G71" i="127"/>
  <c r="G72" i="127"/>
  <c r="G73" i="127"/>
  <c r="G74" i="127"/>
  <c r="G75" i="127"/>
  <c r="G76" i="127"/>
  <c r="G77" i="127"/>
  <c r="G78" i="127"/>
  <c r="G79" i="127"/>
  <c r="G80" i="127"/>
  <c r="G81" i="127"/>
  <c r="G82" i="127"/>
  <c r="G83" i="127"/>
  <c r="G84" i="127"/>
  <c r="G85" i="127"/>
  <c r="G86" i="127"/>
  <c r="G87" i="127"/>
  <c r="G88" i="127"/>
  <c r="G89" i="127"/>
  <c r="G90" i="127"/>
  <c r="G91" i="127"/>
  <c r="G92" i="127"/>
  <c r="G93" i="127"/>
  <c r="G94" i="127"/>
  <c r="G95" i="127"/>
  <c r="G96" i="127"/>
  <c r="G97" i="127"/>
  <c r="G98" i="127"/>
  <c r="G99" i="127"/>
  <c r="G100" i="127"/>
  <c r="G101" i="127"/>
  <c r="G102" i="127"/>
  <c r="G103" i="127"/>
  <c r="A22" i="128"/>
  <c r="G61" i="127"/>
  <c r="G62" i="127"/>
  <c r="G63" i="127"/>
  <c r="G64" i="127"/>
  <c r="G65" i="127"/>
  <c r="G66" i="127"/>
  <c r="G67" i="127"/>
  <c r="G68" i="127"/>
  <c r="G69" i="127"/>
  <c r="G46" i="127"/>
  <c r="G47" i="127"/>
  <c r="G48" i="127"/>
  <c r="G49" i="127"/>
  <c r="G50" i="127"/>
  <c r="G51" i="127"/>
  <c r="G52" i="127"/>
  <c r="G53" i="127"/>
  <c r="G54" i="127"/>
  <c r="G55" i="127"/>
  <c r="G56" i="127"/>
  <c r="G57" i="127"/>
  <c r="G58" i="127"/>
  <c r="G59" i="127"/>
  <c r="G60" i="127"/>
  <c r="D20" i="127"/>
  <c r="E20" i="127" s="1"/>
  <c r="D19" i="127"/>
  <c r="E19" i="127" s="1"/>
  <c r="G18" i="125"/>
  <c r="C5" i="128"/>
  <c r="I9" i="128" s="1"/>
  <c r="C4" i="128"/>
  <c r="I8" i="128" s="1"/>
  <c r="C3" i="128"/>
  <c r="I7" i="128" s="1"/>
  <c r="G45" i="127"/>
  <c r="G44" i="127"/>
  <c r="G43" i="127"/>
  <c r="G42" i="127"/>
  <c r="G41" i="127"/>
  <c r="G40" i="127"/>
  <c r="G39" i="127"/>
  <c r="G38" i="127"/>
  <c r="G37" i="127"/>
  <c r="G36" i="127"/>
  <c r="G35" i="127"/>
  <c r="G34" i="127"/>
  <c r="G33" i="127"/>
  <c r="G32" i="127"/>
  <c r="B25" i="128"/>
  <c r="D27" i="128"/>
  <c r="B27" i="128"/>
  <c r="B23" i="128"/>
  <c r="D25" i="128"/>
  <c r="C27" i="128"/>
  <c r="C26" i="128"/>
  <c r="B26" i="128"/>
  <c r="D23" i="128"/>
  <c r="D26" i="128"/>
  <c r="D22" i="128"/>
  <c r="C25" i="128"/>
  <c r="D24" i="128"/>
  <c r="B22" i="128"/>
  <c r="C22" i="128"/>
  <c r="B24" i="128"/>
  <c r="C24" i="128"/>
  <c r="C23" i="128"/>
  <c r="G44" i="141" l="1"/>
  <c r="I45" i="141"/>
  <c r="D5" i="141" s="1"/>
  <c r="F5" i="141" s="1"/>
  <c r="E13" i="140" s="1"/>
  <c r="H45" i="141"/>
  <c r="H43" i="141"/>
  <c r="I43" i="141"/>
  <c r="G43" i="141"/>
  <c r="D3" i="141" s="1"/>
  <c r="F3" i="141" s="1"/>
  <c r="E11" i="140" s="1"/>
  <c r="I44" i="141"/>
  <c r="G45" i="141"/>
  <c r="G45" i="143"/>
  <c r="I43" i="143"/>
  <c r="I44" i="143"/>
  <c r="H43" i="143"/>
  <c r="I45" i="143"/>
  <c r="D5" i="143" s="1"/>
  <c r="F5" i="143" s="1"/>
  <c r="E13" i="142" s="1"/>
  <c r="H44" i="143"/>
  <c r="D4" i="143" s="1"/>
  <c r="F4" i="143" s="1"/>
  <c r="E12" i="142" s="1"/>
  <c r="G43" i="143"/>
  <c r="D3" i="143" s="1"/>
  <c r="H45" i="143"/>
  <c r="G44" i="143"/>
  <c r="I44" i="133"/>
  <c r="H43" i="133"/>
  <c r="I45" i="133"/>
  <c r="D5" i="133" s="1"/>
  <c r="F5" i="133" s="1"/>
  <c r="E13" i="132" s="1"/>
  <c r="H44" i="133"/>
  <c r="D4" i="133" s="1"/>
  <c r="F4" i="133" s="1"/>
  <c r="E12" i="132" s="1"/>
  <c r="G43" i="133"/>
  <c r="D3" i="133" s="1"/>
  <c r="H45" i="133"/>
  <c r="G44" i="133"/>
  <c r="G45" i="133"/>
  <c r="I43" i="133"/>
  <c r="E2" i="145"/>
  <c r="F3" i="145"/>
  <c r="E11" i="144" s="1"/>
  <c r="I45" i="139"/>
  <c r="D5" i="139" s="1"/>
  <c r="F5" i="139" s="1"/>
  <c r="E13" i="138" s="1"/>
  <c r="H44" i="139"/>
  <c r="D4" i="139" s="1"/>
  <c r="F4" i="139" s="1"/>
  <c r="E12" i="138" s="1"/>
  <c r="G43" i="139"/>
  <c r="D3" i="139" s="1"/>
  <c r="H45" i="139"/>
  <c r="G44" i="139"/>
  <c r="G45" i="139"/>
  <c r="I43" i="139"/>
  <c r="I44" i="139"/>
  <c r="H43" i="139"/>
  <c r="H45" i="135"/>
  <c r="G44" i="135"/>
  <c r="G45" i="135"/>
  <c r="I43" i="135"/>
  <c r="I44" i="135"/>
  <c r="H43" i="135"/>
  <c r="I45" i="135"/>
  <c r="D5" i="135" s="1"/>
  <c r="F5" i="135" s="1"/>
  <c r="E13" i="134" s="1"/>
  <c r="H44" i="135"/>
  <c r="D4" i="135" s="1"/>
  <c r="F4" i="135" s="1"/>
  <c r="E12" i="134" s="1"/>
  <c r="G43" i="135"/>
  <c r="D3" i="135" s="1"/>
  <c r="I44" i="137"/>
  <c r="H43" i="137"/>
  <c r="I45" i="137"/>
  <c r="D5" i="137" s="1"/>
  <c r="F5" i="137" s="1"/>
  <c r="E13" i="136" s="1"/>
  <c r="H44" i="137"/>
  <c r="D4" i="137" s="1"/>
  <c r="F4" i="137" s="1"/>
  <c r="E12" i="136" s="1"/>
  <c r="G43" i="137"/>
  <c r="D3" i="137" s="1"/>
  <c r="H45" i="137"/>
  <c r="G44" i="137"/>
  <c r="G45" i="137"/>
  <c r="I43" i="137"/>
  <c r="E8" i="130"/>
  <c r="F8" i="130" s="1"/>
  <c r="G43" i="131" a="1"/>
  <c r="I45" i="131" s="1"/>
  <c r="D5" i="131" s="1"/>
  <c r="F5" i="131" s="1"/>
  <c r="E13" i="130" s="1"/>
  <c r="E18" i="127"/>
  <c r="D6" i="127" s="1"/>
  <c r="D8" i="127" s="1"/>
  <c r="D2" i="128" s="1"/>
  <c r="G33" i="128" a="1"/>
  <c r="G33" i="128" s="1"/>
  <c r="C6" i="129"/>
  <c r="D6" i="129"/>
  <c r="D8" i="129" s="1"/>
  <c r="C6" i="127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G36" i="78"/>
  <c r="G37" i="78"/>
  <c r="G38" i="78"/>
  <c r="G39" i="78"/>
  <c r="G40" i="78"/>
  <c r="G41" i="78"/>
  <c r="G42" i="78"/>
  <c r="G43" i="78"/>
  <c r="G44" i="78"/>
  <c r="G45" i="78"/>
  <c r="G46" i="78"/>
  <c r="G47" i="78"/>
  <c r="G48" i="78"/>
  <c r="G49" i="78"/>
  <c r="G50" i="78"/>
  <c r="G51" i="78"/>
  <c r="G52" i="78"/>
  <c r="G53" i="78"/>
  <c r="G54" i="78"/>
  <c r="G55" i="78"/>
  <c r="G56" i="78"/>
  <c r="G57" i="78"/>
  <c r="G58" i="78"/>
  <c r="G59" i="78"/>
  <c r="G60" i="78"/>
  <c r="G61" i="78"/>
  <c r="G62" i="78"/>
  <c r="G63" i="78"/>
  <c r="G64" i="78"/>
  <c r="G65" i="78"/>
  <c r="G66" i="78"/>
  <c r="G67" i="78"/>
  <c r="G68" i="78"/>
  <c r="G69" i="78"/>
  <c r="G70" i="78"/>
  <c r="G71" i="78"/>
  <c r="G72" i="78"/>
  <c r="G73" i="78"/>
  <c r="G74" i="78"/>
  <c r="G75" i="78"/>
  <c r="G76" i="78"/>
  <c r="G77" i="78"/>
  <c r="G78" i="78"/>
  <c r="G79" i="78"/>
  <c r="G80" i="78"/>
  <c r="G81" i="78"/>
  <c r="G82" i="78"/>
  <c r="G83" i="78"/>
  <c r="G84" i="78"/>
  <c r="G85" i="78"/>
  <c r="G86" i="78"/>
  <c r="G87" i="78"/>
  <c r="G88" i="78"/>
  <c r="G89" i="78"/>
  <c r="G90" i="78"/>
  <c r="G91" i="78"/>
  <c r="G92" i="78"/>
  <c r="G93" i="78"/>
  <c r="G94" i="78"/>
  <c r="G95" i="78"/>
  <c r="G96" i="78"/>
  <c r="G97" i="78"/>
  <c r="G98" i="78"/>
  <c r="G99" i="78"/>
  <c r="G100" i="78"/>
  <c r="G101" i="78"/>
  <c r="G18" i="78"/>
  <c r="E2" i="141" l="1"/>
  <c r="F3" i="135"/>
  <c r="E11" i="134" s="1"/>
  <c r="E2" i="135"/>
  <c r="E2" i="139"/>
  <c r="F3" i="139"/>
  <c r="E11" i="138" s="1"/>
  <c r="E2" i="143"/>
  <c r="F3" i="143"/>
  <c r="E11" i="142" s="1"/>
  <c r="E2" i="133"/>
  <c r="F3" i="133"/>
  <c r="E11" i="132" s="1"/>
  <c r="E2" i="137"/>
  <c r="F3" i="137"/>
  <c r="E11" i="136" s="1"/>
  <c r="I43" i="131"/>
  <c r="G45" i="131"/>
  <c r="H43" i="131"/>
  <c r="G43" i="131"/>
  <c r="D3" i="131" s="1"/>
  <c r="F3" i="131" s="1"/>
  <c r="E11" i="130" s="1"/>
  <c r="G44" i="131"/>
  <c r="H44" i="131"/>
  <c r="D4" i="131" s="1"/>
  <c r="F4" i="131" s="1"/>
  <c r="E12" i="130" s="1"/>
  <c r="I44" i="131"/>
  <c r="H45" i="131"/>
  <c r="H33" i="128"/>
  <c r="I33" i="128"/>
  <c r="H34" i="128"/>
  <c r="G34" i="128"/>
  <c r="I34" i="128"/>
  <c r="H35" i="128"/>
  <c r="I35" i="128"/>
  <c r="G35" i="128"/>
  <c r="E6" i="129"/>
  <c r="E6" i="127"/>
  <c r="E8" i="127" s="1"/>
  <c r="F8" i="127" s="1"/>
  <c r="G19" i="125"/>
  <c r="G19" i="123"/>
  <c r="G20" i="123"/>
  <c r="G21" i="123"/>
  <c r="G22" i="123"/>
  <c r="G23" i="123"/>
  <c r="G24" i="123"/>
  <c r="G25" i="123"/>
  <c r="G26" i="123"/>
  <c r="G27" i="123"/>
  <c r="G28" i="123"/>
  <c r="G29" i="123"/>
  <c r="G30" i="123"/>
  <c r="G31" i="123"/>
  <c r="G32" i="123"/>
  <c r="G33" i="123"/>
  <c r="G34" i="123"/>
  <c r="G35" i="123"/>
  <c r="G36" i="123"/>
  <c r="G37" i="123"/>
  <c r="G38" i="123"/>
  <c r="G39" i="123"/>
  <c r="G40" i="123"/>
  <c r="G41" i="123"/>
  <c r="G42" i="123"/>
  <c r="G43" i="123"/>
  <c r="G44" i="123"/>
  <c r="G45" i="123"/>
  <c r="G46" i="123"/>
  <c r="G47" i="123"/>
  <c r="G48" i="123"/>
  <c r="G49" i="123"/>
  <c r="G50" i="123"/>
  <c r="G51" i="123"/>
  <c r="G52" i="123"/>
  <c r="G53" i="123"/>
  <c r="G54" i="123"/>
  <c r="G55" i="123"/>
  <c r="G56" i="123"/>
  <c r="G57" i="123"/>
  <c r="G58" i="123"/>
  <c r="G59" i="123"/>
  <c r="G60" i="123"/>
  <c r="G61" i="123"/>
  <c r="G19" i="111"/>
  <c r="G20" i="111"/>
  <c r="G21" i="111"/>
  <c r="G22" i="111"/>
  <c r="G23" i="111"/>
  <c r="G24" i="111"/>
  <c r="G25" i="111"/>
  <c r="G26" i="111"/>
  <c r="G27" i="111"/>
  <c r="G28" i="111"/>
  <c r="G29" i="111"/>
  <c r="G30" i="111"/>
  <c r="G31" i="111"/>
  <c r="G32" i="111"/>
  <c r="G33" i="111"/>
  <c r="G34" i="111"/>
  <c r="G35" i="111"/>
  <c r="G36" i="111"/>
  <c r="G37" i="111"/>
  <c r="G38" i="111"/>
  <c r="G39" i="111"/>
  <c r="G40" i="111"/>
  <c r="G41" i="111"/>
  <c r="G42" i="111"/>
  <c r="G43" i="111"/>
  <c r="G44" i="111"/>
  <c r="G45" i="111"/>
  <c r="G46" i="111"/>
  <c r="G47" i="111"/>
  <c r="G48" i="111"/>
  <c r="G49" i="111"/>
  <c r="G50" i="111"/>
  <c r="G51" i="111"/>
  <c r="G52" i="111"/>
  <c r="G53" i="111"/>
  <c r="G54" i="111"/>
  <c r="G55" i="111"/>
  <c r="G56" i="111"/>
  <c r="G57" i="111"/>
  <c r="G58" i="111"/>
  <c r="G59" i="111"/>
  <c r="G60" i="111"/>
  <c r="G61" i="111"/>
  <c r="G18" i="123"/>
  <c r="G18" i="111"/>
  <c r="D19" i="125"/>
  <c r="E19" i="125" s="1"/>
  <c r="D20" i="125"/>
  <c r="E20" i="125" s="1"/>
  <c r="D21" i="125"/>
  <c r="E21" i="125" s="1"/>
  <c r="D22" i="125"/>
  <c r="E22" i="125" s="1"/>
  <c r="D23" i="125"/>
  <c r="E23" i="125" s="1"/>
  <c r="D24" i="125"/>
  <c r="E24" i="125" s="1"/>
  <c r="D19" i="123"/>
  <c r="E19" i="123" s="1"/>
  <c r="D20" i="123"/>
  <c r="D21" i="123"/>
  <c r="E21" i="123" s="1"/>
  <c r="D22" i="123"/>
  <c r="E22" i="123" s="1"/>
  <c r="D23" i="123"/>
  <c r="D24" i="123"/>
  <c r="E24" i="123" s="1"/>
  <c r="D25" i="123"/>
  <c r="D26" i="123"/>
  <c r="E26" i="123" s="1"/>
  <c r="D27" i="123"/>
  <c r="E27" i="123" s="1"/>
  <c r="D28" i="123"/>
  <c r="E28" i="123" s="1"/>
  <c r="D29" i="123"/>
  <c r="E29" i="123" s="1"/>
  <c r="D30" i="123"/>
  <c r="E30" i="123" s="1"/>
  <c r="D31" i="123"/>
  <c r="E31" i="123" s="1"/>
  <c r="D19" i="111"/>
  <c r="D20" i="111"/>
  <c r="E20" i="111" s="1"/>
  <c r="D21" i="111"/>
  <c r="E21" i="111" s="1"/>
  <c r="D22" i="111"/>
  <c r="E22" i="111" s="1"/>
  <c r="D23" i="111"/>
  <c r="E23" i="111" s="1"/>
  <c r="D24" i="111"/>
  <c r="E24" i="111" s="1"/>
  <c r="D25" i="111"/>
  <c r="E25" i="111" s="1"/>
  <c r="D26" i="111"/>
  <c r="E26" i="111" s="1"/>
  <c r="D27" i="111"/>
  <c r="E27" i="111" s="1"/>
  <c r="D28" i="111"/>
  <c r="D29" i="111"/>
  <c r="E29" i="111" s="1"/>
  <c r="D30" i="111"/>
  <c r="E30" i="111" s="1"/>
  <c r="D31" i="111"/>
  <c r="E31" i="111" s="1"/>
  <c r="D32" i="111"/>
  <c r="E32" i="111" s="1"/>
  <c r="D33" i="111"/>
  <c r="E33" i="111" s="1"/>
  <c r="D34" i="111"/>
  <c r="E34" i="111" s="1"/>
  <c r="D35" i="111"/>
  <c r="E35" i="111" s="1"/>
  <c r="D36" i="111"/>
  <c r="E36" i="111" s="1"/>
  <c r="D37" i="111"/>
  <c r="E37" i="111" s="1"/>
  <c r="D38" i="111"/>
  <c r="E38" i="111" s="1"/>
  <c r="D39" i="111"/>
  <c r="E39" i="111" s="1"/>
  <c r="D40" i="111"/>
  <c r="E40" i="111" s="1"/>
  <c r="D18" i="125"/>
  <c r="E18" i="125" s="1"/>
  <c r="D18" i="123"/>
  <c r="E18" i="123" s="1"/>
  <c r="D18" i="111"/>
  <c r="E18" i="111" s="1"/>
  <c r="D18" i="78"/>
  <c r="A23" i="124"/>
  <c r="A24" i="124"/>
  <c r="A25" i="124"/>
  <c r="A26" i="124"/>
  <c r="A27" i="124"/>
  <c r="A28" i="124"/>
  <c r="A29" i="124"/>
  <c r="A30" i="124"/>
  <c r="A31" i="124"/>
  <c r="A32" i="124"/>
  <c r="A33" i="124"/>
  <c r="A34" i="124"/>
  <c r="A35" i="124"/>
  <c r="E20" i="123"/>
  <c r="E25" i="123"/>
  <c r="A22" i="126"/>
  <c r="C5" i="126"/>
  <c r="I9" i="126" s="1"/>
  <c r="C4" i="126"/>
  <c r="C3" i="126"/>
  <c r="A22" i="124"/>
  <c r="C5" i="124"/>
  <c r="I9" i="124" s="1"/>
  <c r="C4" i="124"/>
  <c r="I8" i="124" s="1"/>
  <c r="C3" i="124"/>
  <c r="I7" i="124" s="1"/>
  <c r="A41" i="112"/>
  <c r="A42" i="112"/>
  <c r="A43" i="112"/>
  <c r="A44" i="112"/>
  <c r="A23" i="112"/>
  <c r="A24" i="112"/>
  <c r="A25" i="112"/>
  <c r="A26" i="112"/>
  <c r="A27" i="112"/>
  <c r="A28" i="112"/>
  <c r="A29" i="112"/>
  <c r="A30" i="112"/>
  <c r="A31" i="112"/>
  <c r="A32" i="112"/>
  <c r="A33" i="112"/>
  <c r="A34" i="112"/>
  <c r="A35" i="112"/>
  <c r="A36" i="112"/>
  <c r="A37" i="112"/>
  <c r="A38" i="112"/>
  <c r="A39" i="112"/>
  <c r="A40" i="112"/>
  <c r="E28" i="111"/>
  <c r="A23" i="122"/>
  <c r="A24" i="122"/>
  <c r="A25" i="122"/>
  <c r="A26" i="122"/>
  <c r="A27" i="122"/>
  <c r="A28" i="122"/>
  <c r="A29" i="122"/>
  <c r="A30" i="122"/>
  <c r="A31" i="122"/>
  <c r="A32" i="122"/>
  <c r="A33" i="122"/>
  <c r="A34" i="122"/>
  <c r="A35" i="122"/>
  <c r="A36" i="122"/>
  <c r="A37" i="122"/>
  <c r="A38" i="122"/>
  <c r="A39" i="122"/>
  <c r="A40" i="122"/>
  <c r="A41" i="122"/>
  <c r="A42" i="122"/>
  <c r="A43" i="122"/>
  <c r="A40" i="80"/>
  <c r="A41" i="80"/>
  <c r="A42" i="80"/>
  <c r="A43" i="80"/>
  <c r="A23" i="80"/>
  <c r="A24" i="80"/>
  <c r="A25" i="80"/>
  <c r="A26" i="80"/>
  <c r="A27" i="80"/>
  <c r="A28" i="80"/>
  <c r="A29" i="80"/>
  <c r="A30" i="80"/>
  <c r="A31" i="80"/>
  <c r="A32" i="80"/>
  <c r="A33" i="80"/>
  <c r="A34" i="80"/>
  <c r="A35" i="80"/>
  <c r="A36" i="80"/>
  <c r="A37" i="80"/>
  <c r="A38" i="80"/>
  <c r="A39" i="80"/>
  <c r="G41" i="121"/>
  <c r="G42" i="121"/>
  <c r="G43" i="121"/>
  <c r="G44" i="121"/>
  <c r="G45" i="121"/>
  <c r="G46" i="121"/>
  <c r="G47" i="121"/>
  <c r="G48" i="121"/>
  <c r="G49" i="121"/>
  <c r="G50" i="121"/>
  <c r="G51" i="121"/>
  <c r="G52" i="121"/>
  <c r="G53" i="121"/>
  <c r="G54" i="121"/>
  <c r="G55" i="121"/>
  <c r="G56" i="121"/>
  <c r="G57" i="121"/>
  <c r="G58" i="121"/>
  <c r="G59" i="121"/>
  <c r="G60" i="121"/>
  <c r="B32" i="124"/>
  <c r="C35" i="124"/>
  <c r="C31" i="124"/>
  <c r="C25" i="124"/>
  <c r="B30" i="124"/>
  <c r="D31" i="124"/>
  <c r="B22" i="124"/>
  <c r="C34" i="124"/>
  <c r="C24" i="124"/>
  <c r="D23" i="124"/>
  <c r="B35" i="124"/>
  <c r="B25" i="124"/>
  <c r="B34" i="124"/>
  <c r="D22" i="124"/>
  <c r="C27" i="124"/>
  <c r="C26" i="124"/>
  <c r="D30" i="124"/>
  <c r="D35" i="124"/>
  <c r="D25" i="124"/>
  <c r="B27" i="124"/>
  <c r="B33" i="124"/>
  <c r="D26" i="124"/>
  <c r="D29" i="124"/>
  <c r="C28" i="124"/>
  <c r="C33" i="124"/>
  <c r="D32" i="124"/>
  <c r="C30" i="124"/>
  <c r="C32" i="124"/>
  <c r="D28" i="124"/>
  <c r="D24" i="124"/>
  <c r="C29" i="124"/>
  <c r="B28" i="124"/>
  <c r="C22" i="124"/>
  <c r="D34" i="124"/>
  <c r="B29" i="124"/>
  <c r="B26" i="124"/>
  <c r="D27" i="124"/>
  <c r="C23" i="124"/>
  <c r="B24" i="124"/>
  <c r="B31" i="124"/>
  <c r="B23" i="124"/>
  <c r="D33" i="124"/>
  <c r="D24" i="126"/>
  <c r="D27" i="126"/>
  <c r="D26" i="126"/>
  <c r="D28" i="126"/>
  <c r="D25" i="126"/>
  <c r="D23" i="126"/>
  <c r="D22" i="126"/>
  <c r="E2" i="131" l="1"/>
  <c r="I7" i="126"/>
  <c r="I8" i="126"/>
  <c r="F6" i="129"/>
  <c r="C8" i="129" s="1"/>
  <c r="E8" i="129"/>
  <c r="F8" i="129" s="1"/>
  <c r="F6" i="127"/>
  <c r="C8" i="127" s="1"/>
  <c r="D6" i="125"/>
  <c r="D8" i="125" s="1"/>
  <c r="D2" i="126" s="1"/>
  <c r="G33" i="124" a="1"/>
  <c r="I35" i="124" s="1"/>
  <c r="C6" i="123"/>
  <c r="E23" i="123"/>
  <c r="D6" i="123" s="1"/>
  <c r="D8" i="123" s="1"/>
  <c r="D2" i="124" s="1"/>
  <c r="C6" i="125"/>
  <c r="B22" i="126"/>
  <c r="B24" i="126"/>
  <c r="B25" i="126"/>
  <c r="B28" i="126"/>
  <c r="B23" i="126"/>
  <c r="B26" i="126"/>
  <c r="B27" i="126"/>
  <c r="C25" i="126"/>
  <c r="C28" i="126"/>
  <c r="C26" i="126"/>
  <c r="C23" i="126"/>
  <c r="C27" i="126"/>
  <c r="C24" i="126"/>
  <c r="C22" i="126"/>
  <c r="G33" i="126" l="1" a="1"/>
  <c r="G43" i="128" a="1"/>
  <c r="G45" i="128" s="1"/>
  <c r="H34" i="124"/>
  <c r="G33" i="124"/>
  <c r="H33" i="124"/>
  <c r="G35" i="124"/>
  <c r="I33" i="124"/>
  <c r="H35" i="124"/>
  <c r="G34" i="124"/>
  <c r="I34" i="124"/>
  <c r="E6" i="125"/>
  <c r="E8" i="125" s="1"/>
  <c r="F8" i="125" s="1"/>
  <c r="E6" i="123"/>
  <c r="G33" i="126" l="1"/>
  <c r="G34" i="126"/>
  <c r="H35" i="126"/>
  <c r="I33" i="126"/>
  <c r="G35" i="126"/>
  <c r="I34" i="126"/>
  <c r="I35" i="126"/>
  <c r="H33" i="126"/>
  <c r="H34" i="126"/>
  <c r="I45" i="128"/>
  <c r="D5" i="128" s="1"/>
  <c r="F5" i="128" s="1"/>
  <c r="G43" i="128"/>
  <c r="D3" i="128" s="1"/>
  <c r="F3" i="128" s="1"/>
  <c r="H43" i="128"/>
  <c r="H44" i="128"/>
  <c r="D4" i="128" s="1"/>
  <c r="F4" i="128" s="1"/>
  <c r="I43" i="128"/>
  <c r="H45" i="128"/>
  <c r="I44" i="128"/>
  <c r="G44" i="128"/>
  <c r="F6" i="125"/>
  <c r="C8" i="125" s="1"/>
  <c r="G43" i="124" a="1"/>
  <c r="I45" i="124" s="1"/>
  <c r="D5" i="124" s="1"/>
  <c r="F5" i="124" s="1"/>
  <c r="E13" i="123" s="1"/>
  <c r="E8" i="123"/>
  <c r="F8" i="123" s="1"/>
  <c r="F6" i="123"/>
  <c r="C8" i="123" s="1"/>
  <c r="G43" i="126" l="1" a="1"/>
  <c r="I45" i="126" s="1"/>
  <c r="D5" i="126" s="1"/>
  <c r="F5" i="126" s="1"/>
  <c r="E13" i="125" s="1"/>
  <c r="E11" i="127"/>
  <c r="E11" i="129"/>
  <c r="E13" i="127"/>
  <c r="E13" i="129"/>
  <c r="E12" i="127"/>
  <c r="E12" i="129"/>
  <c r="E2" i="128"/>
  <c r="I44" i="124"/>
  <c r="H45" i="124"/>
  <c r="I43" i="124"/>
  <c r="G43" i="124"/>
  <c r="D3" i="124" s="1"/>
  <c r="G45" i="124"/>
  <c r="H44" i="124"/>
  <c r="D4" i="124" s="1"/>
  <c r="F4" i="124" s="1"/>
  <c r="E12" i="123" s="1"/>
  <c r="H43" i="124"/>
  <c r="G44" i="124"/>
  <c r="G45" i="126" l="1"/>
  <c r="I44" i="126"/>
  <c r="H45" i="126"/>
  <c r="G44" i="126"/>
  <c r="H43" i="126"/>
  <c r="G43" i="126"/>
  <c r="D3" i="126" s="1"/>
  <c r="H44" i="126"/>
  <c r="D4" i="126" s="1"/>
  <c r="F4" i="126" s="1"/>
  <c r="E12" i="125" s="1"/>
  <c r="I43" i="126"/>
  <c r="E2" i="124"/>
  <c r="F3" i="124"/>
  <c r="E11" i="123" s="1"/>
  <c r="E2" i="126" l="1"/>
  <c r="F3" i="126"/>
  <c r="E11" i="125" s="1"/>
  <c r="D33" i="78"/>
  <c r="E33" i="78" s="1"/>
  <c r="D34" i="78"/>
  <c r="E34" i="78" s="1"/>
  <c r="D35" i="78"/>
  <c r="E35" i="78" s="1"/>
  <c r="D36" i="78"/>
  <c r="E36" i="78" s="1"/>
  <c r="D37" i="78"/>
  <c r="E37" i="78" s="1"/>
  <c r="D38" i="78"/>
  <c r="E38" i="78" s="1"/>
  <c r="D39" i="78"/>
  <c r="E39" i="78" s="1"/>
  <c r="D19" i="78"/>
  <c r="D20" i="78"/>
  <c r="D22" i="78"/>
  <c r="D23" i="78"/>
  <c r="D24" i="78"/>
  <c r="D25" i="78"/>
  <c r="D26" i="78"/>
  <c r="D27" i="78"/>
  <c r="D28" i="78"/>
  <c r="D29" i="78"/>
  <c r="D30" i="78"/>
  <c r="D31" i="78"/>
  <c r="D32" i="78"/>
  <c r="G18" i="121"/>
  <c r="D19" i="121"/>
  <c r="D20" i="121"/>
  <c r="E20" i="121" s="1"/>
  <c r="D21" i="121"/>
  <c r="E21" i="121" s="1"/>
  <c r="D22" i="121"/>
  <c r="E22" i="121" s="1"/>
  <c r="D23" i="121"/>
  <c r="D24" i="121"/>
  <c r="E24" i="121" s="1"/>
  <c r="D25" i="121"/>
  <c r="E25" i="121" s="1"/>
  <c r="D26" i="121"/>
  <c r="E26" i="121" s="1"/>
  <c r="D27" i="121"/>
  <c r="E27" i="121" s="1"/>
  <c r="D28" i="121"/>
  <c r="E28" i="121" s="1"/>
  <c r="D29" i="121"/>
  <c r="E29" i="121" s="1"/>
  <c r="D30" i="121"/>
  <c r="E30" i="121" s="1"/>
  <c r="D31" i="121"/>
  <c r="E31" i="121" s="1"/>
  <c r="D32" i="121"/>
  <c r="E32" i="121" s="1"/>
  <c r="D33" i="121"/>
  <c r="E33" i="121" s="1"/>
  <c r="D34" i="121"/>
  <c r="E34" i="121" s="1"/>
  <c r="D35" i="121"/>
  <c r="E35" i="121" s="1"/>
  <c r="D36" i="121"/>
  <c r="E36" i="121" s="1"/>
  <c r="D37" i="121"/>
  <c r="E37" i="121" s="1"/>
  <c r="D38" i="121"/>
  <c r="E38" i="121" s="1"/>
  <c r="D39" i="121"/>
  <c r="E39" i="121" s="1"/>
  <c r="E18" i="121"/>
  <c r="G19" i="121"/>
  <c r="G20" i="121"/>
  <c r="G21" i="121"/>
  <c r="G22" i="121"/>
  <c r="G23" i="121"/>
  <c r="G24" i="121"/>
  <c r="G25" i="121"/>
  <c r="G26" i="121"/>
  <c r="G27" i="121"/>
  <c r="G28" i="121"/>
  <c r="G29" i="121"/>
  <c r="G30" i="121"/>
  <c r="G31" i="121"/>
  <c r="G32" i="121"/>
  <c r="G33" i="121"/>
  <c r="G34" i="121"/>
  <c r="G35" i="121"/>
  <c r="G36" i="121"/>
  <c r="G37" i="121"/>
  <c r="G38" i="121"/>
  <c r="G39" i="121"/>
  <c r="G40" i="121"/>
  <c r="E23" i="121"/>
  <c r="C6" i="78" l="1"/>
  <c r="A22" i="112" l="1"/>
  <c r="E19" i="111"/>
  <c r="A22" i="80"/>
  <c r="E20" i="78"/>
  <c r="E22" i="78"/>
  <c r="E23" i="78"/>
  <c r="E24" i="78"/>
  <c r="E26" i="78"/>
  <c r="E28" i="78"/>
  <c r="E30" i="78"/>
  <c r="E19" i="78"/>
  <c r="E19" i="121"/>
  <c r="A22" i="122"/>
  <c r="E29" i="78" l="1"/>
  <c r="E27" i="78"/>
  <c r="E31" i="78"/>
  <c r="E32" i="78"/>
  <c r="E25" i="78"/>
  <c r="C5" i="122" l="1"/>
  <c r="I9" i="122" s="1"/>
  <c r="C4" i="122"/>
  <c r="C3" i="122"/>
  <c r="D31" i="122"/>
  <c r="D40" i="122"/>
  <c r="D27" i="122"/>
  <c r="D36" i="122"/>
  <c r="D33" i="122"/>
  <c r="D28" i="122"/>
  <c r="D26" i="122"/>
  <c r="D42" i="122"/>
  <c r="D25" i="122"/>
  <c r="D23" i="122"/>
  <c r="D43" i="122"/>
  <c r="D37" i="122"/>
  <c r="D32" i="122"/>
  <c r="D39" i="122"/>
  <c r="D24" i="122"/>
  <c r="D41" i="122"/>
  <c r="D34" i="122"/>
  <c r="D35" i="122"/>
  <c r="D38" i="122"/>
  <c r="D30" i="122"/>
  <c r="D29" i="122"/>
  <c r="D22" i="122"/>
  <c r="I7" i="122" l="1"/>
  <c r="I8" i="122"/>
  <c r="C6" i="121"/>
  <c r="C39" i="122"/>
  <c r="C26" i="122"/>
  <c r="C38" i="122"/>
  <c r="C35" i="122"/>
  <c r="C36" i="122"/>
  <c r="C37" i="122"/>
  <c r="C33" i="122"/>
  <c r="C24" i="122"/>
  <c r="C42" i="122"/>
  <c r="C40" i="122"/>
  <c r="C28" i="122"/>
  <c r="C29" i="122"/>
  <c r="C23" i="122"/>
  <c r="C31" i="122"/>
  <c r="C41" i="122"/>
  <c r="C43" i="122"/>
  <c r="C25" i="122"/>
  <c r="C30" i="122"/>
  <c r="C34" i="122"/>
  <c r="C32" i="122"/>
  <c r="C27" i="122"/>
  <c r="C22" i="122"/>
  <c r="B28" i="122"/>
  <c r="B32" i="122"/>
  <c r="B29" i="122"/>
  <c r="B39" i="122"/>
  <c r="B24" i="122"/>
  <c r="B43" i="122"/>
  <c r="B27" i="122"/>
  <c r="B40" i="122"/>
  <c r="B33" i="122"/>
  <c r="B34" i="122"/>
  <c r="B36" i="122"/>
  <c r="B26" i="122"/>
  <c r="B42" i="122"/>
  <c r="B37" i="122"/>
  <c r="B35" i="122"/>
  <c r="B30" i="122"/>
  <c r="B38" i="122"/>
  <c r="B31" i="122"/>
  <c r="B23" i="122"/>
  <c r="B41" i="122"/>
  <c r="B25" i="122"/>
  <c r="B22" i="122"/>
  <c r="G33" i="122" l="1" a="1"/>
  <c r="D6" i="121"/>
  <c r="G33" i="122" l="1"/>
  <c r="I33" i="122"/>
  <c r="G35" i="122"/>
  <c r="I34" i="122"/>
  <c r="I35" i="122"/>
  <c r="H33" i="122"/>
  <c r="H34" i="122"/>
  <c r="G34" i="122"/>
  <c r="H35" i="122"/>
  <c r="D8" i="121"/>
  <c r="D2" i="122" s="1"/>
  <c r="E6" i="121"/>
  <c r="G43" i="122" l="1" a="1"/>
  <c r="G45" i="122" s="1"/>
  <c r="E8" i="121"/>
  <c r="F8" i="121" s="1"/>
  <c r="F6" i="121"/>
  <c r="C8" i="121" s="1"/>
  <c r="H44" i="122" l="1"/>
  <c r="H43" i="122"/>
  <c r="I45" i="122"/>
  <c r="D5" i="122" s="1"/>
  <c r="F5" i="122" s="1"/>
  <c r="E13" i="121" s="1"/>
  <c r="I44" i="122"/>
  <c r="I43" i="122"/>
  <c r="H45" i="122"/>
  <c r="G44" i="122"/>
  <c r="G43" i="122"/>
  <c r="D3" i="122" s="1"/>
  <c r="F3" i="122" s="1"/>
  <c r="E11" i="121" s="1"/>
  <c r="D4" i="122"/>
  <c r="F4" i="122" s="1"/>
  <c r="E12" i="121" s="1"/>
  <c r="E2" i="122" l="1"/>
  <c r="C5" i="112"/>
  <c r="I9" i="112" s="1"/>
  <c r="C4" i="112"/>
  <c r="C3" i="112"/>
  <c r="D38" i="112"/>
  <c r="D37" i="112"/>
  <c r="D28" i="112"/>
  <c r="D29" i="112"/>
  <c r="D36" i="112"/>
  <c r="D39" i="112"/>
  <c r="D33" i="112"/>
  <c r="D30" i="112"/>
  <c r="D34" i="112"/>
  <c r="D23" i="112"/>
  <c r="D40" i="112"/>
  <c r="D31" i="112"/>
  <c r="D44" i="112"/>
  <c r="D22" i="112"/>
  <c r="D25" i="112"/>
  <c r="D43" i="112"/>
  <c r="D27" i="112"/>
  <c r="D42" i="112"/>
  <c r="D35" i="112"/>
  <c r="D24" i="112"/>
  <c r="D26" i="112"/>
  <c r="D41" i="112"/>
  <c r="D32" i="112"/>
  <c r="I7" i="112" l="1"/>
  <c r="I8" i="112"/>
  <c r="C6" i="111"/>
  <c r="B27" i="112"/>
  <c r="C36" i="112"/>
  <c r="C30" i="112"/>
  <c r="B36" i="112"/>
  <c r="C43" i="112"/>
  <c r="C38" i="112"/>
  <c r="C26" i="112"/>
  <c r="B25" i="112"/>
  <c r="B23" i="112"/>
  <c r="B34" i="112"/>
  <c r="C31" i="112"/>
  <c r="C41" i="112"/>
  <c r="B32" i="112"/>
  <c r="C25" i="112"/>
  <c r="B41" i="112"/>
  <c r="C24" i="112"/>
  <c r="B44" i="112"/>
  <c r="C42" i="112"/>
  <c r="B38" i="112"/>
  <c r="C23" i="112"/>
  <c r="C37" i="112"/>
  <c r="C39" i="112"/>
  <c r="B31" i="112"/>
  <c r="C34" i="112"/>
  <c r="C29" i="112"/>
  <c r="B29" i="112"/>
  <c r="B39" i="112"/>
  <c r="C22" i="112"/>
  <c r="B22" i="112"/>
  <c r="B35" i="112"/>
  <c r="B24" i="112"/>
  <c r="C32" i="112"/>
  <c r="C44" i="112"/>
  <c r="B37" i="112"/>
  <c r="B40" i="112"/>
  <c r="B33" i="112"/>
  <c r="B28" i="112"/>
  <c r="C40" i="112"/>
  <c r="B42" i="112"/>
  <c r="B30" i="112"/>
  <c r="C28" i="112"/>
  <c r="C33" i="112"/>
  <c r="B26" i="112"/>
  <c r="C35" i="112"/>
  <c r="B43" i="112"/>
  <c r="C27" i="112"/>
  <c r="G33" i="112" l="1" a="1"/>
  <c r="D6" i="111"/>
  <c r="D8" i="111" s="1"/>
  <c r="D2" i="112" s="1"/>
  <c r="G33" i="112" l="1"/>
  <c r="I33" i="112"/>
  <c r="G35" i="112"/>
  <c r="I34" i="112"/>
  <c r="I35" i="112"/>
  <c r="H33" i="112"/>
  <c r="H34" i="112"/>
  <c r="G34" i="112"/>
  <c r="H35" i="112"/>
  <c r="E6" i="111"/>
  <c r="G43" i="112" l="1" a="1"/>
  <c r="I45" i="112" s="1"/>
  <c r="D5" i="112" s="1"/>
  <c r="F5" i="112" s="1"/>
  <c r="E13" i="111" s="1"/>
  <c r="E8" i="111"/>
  <c r="F8" i="111" s="1"/>
  <c r="F6" i="111"/>
  <c r="C8" i="111" s="1"/>
  <c r="G44" i="112" l="1"/>
  <c r="H44" i="112"/>
  <c r="D4" i="112" s="1"/>
  <c r="F4" i="112" s="1"/>
  <c r="E12" i="111" s="1"/>
  <c r="I43" i="112"/>
  <c r="I44" i="112"/>
  <c r="G45" i="112"/>
  <c r="G43" i="112"/>
  <c r="D3" i="112" s="1"/>
  <c r="H43" i="112"/>
  <c r="H45" i="112"/>
  <c r="E2" i="112" l="1"/>
  <c r="F3" i="112"/>
  <c r="E11" i="111" s="1"/>
  <c r="C4" i="80" l="1"/>
  <c r="C5" i="80"/>
  <c r="C3" i="80"/>
  <c r="I9" i="80" l="1"/>
  <c r="I7" i="80"/>
  <c r="E18" i="78"/>
  <c r="D6" i="78" s="1"/>
  <c r="I8" i="80"/>
  <c r="C31" i="80"/>
  <c r="D25" i="80"/>
  <c r="C39" i="80"/>
  <c r="C26" i="80"/>
  <c r="D28" i="80"/>
  <c r="B37" i="80"/>
  <c r="B32" i="80"/>
  <c r="B33" i="80"/>
  <c r="D38" i="80"/>
  <c r="C35" i="80"/>
  <c r="D32" i="80"/>
  <c r="B29" i="80"/>
  <c r="B38" i="80"/>
  <c r="B42" i="80"/>
  <c r="C37" i="80"/>
  <c r="B36" i="80"/>
  <c r="B24" i="80"/>
  <c r="C27" i="80"/>
  <c r="B40" i="80"/>
  <c r="D37" i="80"/>
  <c r="D41" i="80"/>
  <c r="D27" i="80"/>
  <c r="B23" i="80"/>
  <c r="B41" i="80"/>
  <c r="C28" i="80"/>
  <c r="D30" i="80"/>
  <c r="B35" i="80"/>
  <c r="C42" i="80"/>
  <c r="C32" i="80"/>
  <c r="D40" i="80"/>
  <c r="D34" i="80"/>
  <c r="B39" i="80"/>
  <c r="B34" i="80"/>
  <c r="C22" i="80"/>
  <c r="B22" i="80"/>
  <c r="B26" i="80"/>
  <c r="D36" i="80"/>
  <c r="C36" i="80"/>
  <c r="C40" i="80"/>
  <c r="B28" i="80"/>
  <c r="C38" i="80"/>
  <c r="C30" i="80"/>
  <c r="D33" i="80"/>
  <c r="D29" i="80"/>
  <c r="D42" i="80"/>
  <c r="D31" i="80"/>
  <c r="C25" i="80"/>
  <c r="D22" i="80"/>
  <c r="C24" i="80"/>
  <c r="C41" i="80"/>
  <c r="C23" i="80"/>
  <c r="D26" i="80"/>
  <c r="D43" i="80"/>
  <c r="D23" i="80"/>
  <c r="B43" i="80"/>
  <c r="B30" i="80"/>
  <c r="D35" i="80"/>
  <c r="C33" i="80"/>
  <c r="B31" i="80"/>
  <c r="C43" i="80"/>
  <c r="D39" i="80"/>
  <c r="C34" i="80"/>
  <c r="D24" i="80"/>
  <c r="B27" i="80"/>
  <c r="C29" i="80"/>
  <c r="B25" i="80"/>
  <c r="G33" i="80" l="1" a="1"/>
  <c r="D8" i="78"/>
  <c r="D2" i="80" s="1"/>
  <c r="E6" i="78"/>
  <c r="G33" i="80" l="1"/>
  <c r="H35" i="80"/>
  <c r="I34" i="80"/>
  <c r="G34" i="80"/>
  <c r="H33" i="80"/>
  <c r="I33" i="80"/>
  <c r="G35" i="80"/>
  <c r="I35" i="80"/>
  <c r="H34" i="80"/>
  <c r="F6" i="78"/>
  <c r="C8" i="78" s="1"/>
  <c r="E8" i="78"/>
  <c r="F8" i="78" s="1"/>
  <c r="G43" i="80" l="1" a="1"/>
  <c r="H44" i="80" s="1"/>
  <c r="H43" i="80" l="1"/>
  <c r="G44" i="80"/>
  <c r="I45" i="80"/>
  <c r="I44" i="80"/>
  <c r="H45" i="80"/>
  <c r="I43" i="80"/>
  <c r="G43" i="80"/>
  <c r="D3" i="80" s="1"/>
  <c r="F3" i="80" s="1"/>
  <c r="E11" i="78" s="1"/>
  <c r="G45" i="80"/>
  <c r="D4" i="80" l="1"/>
  <c r="F4" i="80" s="1"/>
  <c r="E12" i="78" s="1"/>
  <c r="D5" i="80"/>
  <c r="F5" i="80" s="1"/>
  <c r="E13" i="78" s="1"/>
  <c r="E2" i="80" l="1"/>
</calcChain>
</file>

<file path=xl/comments1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2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3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4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5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6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7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8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9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10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11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12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13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comments14.xml><?xml version="1.0" encoding="utf-8"?>
<comments xmlns="http://schemas.openxmlformats.org/spreadsheetml/2006/main">
  <authors>
    <author>CICA</author>
  </authors>
  <commentList>
    <comment ref="I32" authorId="0" shapeId="0">
      <text>
        <r>
          <rPr>
            <b/>
            <sz val="9"/>
            <color indexed="81"/>
            <rFont val="Tahoma"/>
            <family val="2"/>
          </rPr>
          <t>CICA:</t>
        </r>
        <r>
          <rPr>
            <sz val="9"/>
            <color indexed="81"/>
            <rFont val="Tahoma"/>
            <family val="2"/>
          </rPr>
          <t xml:space="preserve">
acertar as linhas e colunas em função dos números e fazer: ctrl+shift+enter</t>
        </r>
      </text>
    </comment>
  </commentList>
</comments>
</file>

<file path=xl/sharedStrings.xml><?xml version="1.0" encoding="utf-8"?>
<sst xmlns="http://schemas.openxmlformats.org/spreadsheetml/2006/main" count="688" uniqueCount="67">
  <si>
    <t>(qM1exp-qM1teór)^2</t>
  </si>
  <si>
    <t>Parâmetros</t>
  </si>
  <si>
    <t>Erros de Ajuste</t>
  </si>
  <si>
    <t>Time (days)</t>
  </si>
  <si>
    <t>A</t>
  </si>
  <si>
    <t>γ</t>
  </si>
  <si>
    <r>
      <rPr>
        <sz val="10"/>
        <color indexed="8"/>
        <rFont val="Calibri"/>
        <family val="2"/>
      </rPr>
      <t>µ</t>
    </r>
    <r>
      <rPr>
        <sz val="10"/>
        <color indexed="8"/>
        <rFont val="Times New Roman"/>
        <family val="1"/>
      </rPr>
      <t>max</t>
    </r>
  </si>
  <si>
    <t>CALCULO DOS ERROS DOS PARÂMETROS DE AJUSTE</t>
  </si>
  <si>
    <t>standard error</t>
  </si>
  <si>
    <t>N</t>
  </si>
  <si>
    <t>DELTA</t>
  </si>
  <si>
    <t>d/dA</t>
  </si>
  <si>
    <t>d/dµmax</t>
  </si>
  <si>
    <t>d/dγ</t>
  </si>
  <si>
    <t>NºPontos</t>
  </si>
  <si>
    <t>Matriz transposta</t>
  </si>
  <si>
    <t>Multiplicação da matriz</t>
  </si>
  <si>
    <t>Matriz Inversa</t>
  </si>
  <si>
    <t>Cat2</t>
  </si>
  <si>
    <t xml:space="preserve">Time </t>
  </si>
  <si>
    <t>mgCH4-COD/gCOD (STP)</t>
  </si>
  <si>
    <t>Avaliação do modelo de ajuste</t>
  </si>
  <si>
    <r>
      <rPr>
        <b/>
        <sz val="10"/>
        <rFont val="Arial"/>
        <family val="2"/>
      </rPr>
      <t>SS</t>
    </r>
    <r>
      <rPr>
        <b/>
        <vertAlign val="subscript"/>
        <sz val="10"/>
        <rFont val="Arial"/>
        <family val="2"/>
      </rPr>
      <t>T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(total sum of squares; desvio ao modelo mais basico, neste caso à média)</t>
    </r>
  </si>
  <si>
    <r>
      <t>SS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(residual sum of squares; desvio ao modelo com melhor ajuste, neste caso o modelo modificado de Gompertz)</t>
    </r>
  </si>
  <si>
    <r>
      <rPr>
        <b/>
        <sz val="10"/>
        <rFont val="Arial"/>
        <family val="2"/>
      </rPr>
      <t>SS</t>
    </r>
    <r>
      <rPr>
        <b/>
        <vertAlign val="subscript"/>
        <sz val="10"/>
        <rFont val="Arial"/>
        <family val="2"/>
      </rPr>
      <t>M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(model sum of squares; indica o quanto o melhor ajuste é melhor que a média )</t>
    </r>
  </si>
  <si>
    <r>
      <t>R</t>
    </r>
    <r>
      <rPr>
        <b/>
        <vertAlign val="superscript"/>
        <sz val="10"/>
        <rFont val="Arial"/>
        <family val="2"/>
      </rPr>
      <t>2</t>
    </r>
  </si>
  <si>
    <t>Pearson's correlation coeficient</t>
  </si>
  <si>
    <r>
      <t>MS</t>
    </r>
    <r>
      <rPr>
        <b/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 xml:space="preserve"> (residual mean squares)</t>
    </r>
  </si>
  <si>
    <r>
      <t>MS</t>
    </r>
    <r>
      <rPr>
        <b/>
        <vertAlign val="subscript"/>
        <sz val="10"/>
        <color indexed="12"/>
        <rFont val="Times New Roman"/>
        <family val="1"/>
      </rPr>
      <t>M</t>
    </r>
    <r>
      <rPr>
        <b/>
        <sz val="10"/>
        <color indexed="12"/>
        <rFont val="Times New Roman"/>
        <family val="1"/>
      </rPr>
      <t xml:space="preserve"> </t>
    </r>
    <r>
      <rPr>
        <sz val="10"/>
        <color indexed="12"/>
        <rFont val="Times New Roman"/>
        <family val="1"/>
      </rPr>
      <t>(mean squares for the model)</t>
    </r>
  </si>
  <si>
    <t>F-ratio</t>
  </si>
  <si>
    <t>Predicted value</t>
  </si>
  <si>
    <t>Modified Gompertz model</t>
  </si>
  <si>
    <r>
      <t>MS</t>
    </r>
    <r>
      <rPr>
        <b/>
        <vertAlign val="subscript"/>
        <sz val="10"/>
        <color indexed="18"/>
        <rFont val="Times New Roman"/>
        <family val="1"/>
      </rPr>
      <t>M</t>
    </r>
    <r>
      <rPr>
        <b/>
        <sz val="10"/>
        <color indexed="18"/>
        <rFont val="Times New Roman"/>
        <family val="1"/>
      </rPr>
      <t>&gt;&gt;&gt;MS</t>
    </r>
    <r>
      <rPr>
        <b/>
        <vertAlign val="subscript"/>
        <sz val="10"/>
        <color indexed="18"/>
        <rFont val="Times New Roman"/>
        <family val="1"/>
      </rPr>
      <t>R</t>
    </r>
  </si>
  <si>
    <t>Std Err</t>
  </si>
  <si>
    <t>hours</t>
  </si>
  <si>
    <t>OD600nm</t>
  </si>
  <si>
    <t>0.000</t>
  </si>
  <si>
    <t>0.1</t>
  </si>
  <si>
    <t>13.183</t>
  </si>
  <si>
    <t>0.162</t>
  </si>
  <si>
    <t>15.917</t>
  </si>
  <si>
    <t>0.28</t>
  </si>
  <si>
    <t>18.000</t>
  </si>
  <si>
    <t>0.46</t>
  </si>
  <si>
    <t>19.833</t>
  </si>
  <si>
    <t>0.56</t>
  </si>
  <si>
    <t>21.750</t>
  </si>
  <si>
    <t>0.62</t>
  </si>
  <si>
    <t>23.750</t>
  </si>
  <si>
    <t>0.8</t>
  </si>
  <si>
    <t>27.500</t>
  </si>
  <si>
    <t>1.18</t>
  </si>
  <si>
    <t>32.750</t>
  </si>
  <si>
    <t>2.02</t>
  </si>
  <si>
    <t>41.500</t>
  </si>
  <si>
    <t>4.72</t>
  </si>
  <si>
    <t>44.167</t>
  </si>
  <si>
    <t>5.72</t>
  </si>
  <si>
    <t>48.833</t>
  </si>
  <si>
    <t>6.04</t>
  </si>
  <si>
    <t>53.283</t>
  </si>
  <si>
    <t>5.96</t>
  </si>
  <si>
    <r>
      <rPr>
        <b/>
        <sz val="22"/>
        <rFont val="Calibri"/>
        <family val="2"/>
      </rPr>
      <t>µ</t>
    </r>
    <r>
      <rPr>
        <b/>
        <sz val="22"/>
        <rFont val="Arial"/>
        <family val="2"/>
      </rPr>
      <t>1418</t>
    </r>
  </si>
  <si>
    <r>
      <rPr>
        <b/>
        <sz val="22"/>
        <rFont val="Calibri"/>
        <family val="2"/>
      </rPr>
      <t>µ</t>
    </r>
    <r>
      <rPr>
        <b/>
        <sz val="22"/>
        <rFont val="Arial"/>
        <family val="2"/>
      </rPr>
      <t>1412</t>
    </r>
  </si>
  <si>
    <t>fabH</t>
  </si>
  <si>
    <t>AthMOD1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</si>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</sst>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\ &quot;Pts&quot;_-;\-* #,##0\ &quot;Pts&quot;_-;_-* &quot;-&quot;\ &quot;Pts&quot;_-;_-@_-"/>
    <numFmt numFmtId="165" formatCode="_-* #,##0\ _P_t_s_-;\-* #,##0\ _P_t_s_-;_-* &quot;-&quot;\ _P_t_s_-;_-@_-"/>
    <numFmt numFmtId="166" formatCode="_-* #,##0.00\ &quot;Pts&quot;_-;\-* #,##0.00\ &quot;Pts&quot;_-;_-* &quot;-&quot;??\ &quot;Pts&quot;_-;_-@_-"/>
    <numFmt numFmtId="167" formatCode="_-* #,##0.00\ _P_t_s_-;\-* #,##0.00\ _P_t_s_-;_-* &quot;-&quot;??\ _P_t_s_-;_-@_-"/>
    <numFmt numFmtId="168" formatCode="0.0"/>
    <numFmt numFmtId="169" formatCode="0.000"/>
    <numFmt numFmtId="170" formatCode="0.00000"/>
    <numFmt numFmtId="171" formatCode="0.000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8"/>
      <name val="Times New Roman"/>
      <family val="1"/>
    </font>
    <font>
      <sz val="10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2"/>
      <name val="Times New Roman"/>
      <family val="1"/>
    </font>
    <font>
      <b/>
      <i/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i/>
      <sz val="10"/>
      <color indexed="17"/>
      <name val="Times New Roman"/>
      <family val="1"/>
    </font>
    <font>
      <b/>
      <sz val="10"/>
      <color indexed="8"/>
      <name val="Times New Roman"/>
      <family val="1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0"/>
      <color indexed="8"/>
      <name val="Calibri"/>
      <family val="2"/>
    </font>
    <font>
      <b/>
      <u/>
      <sz val="10"/>
      <color indexed="10"/>
      <name val="Arial"/>
      <family val="2"/>
    </font>
    <font>
      <sz val="10"/>
      <color indexed="10"/>
      <name val="Times New Roman"/>
      <family val="1"/>
    </font>
    <font>
      <u/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sz val="1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0"/>
      <name val="Arial"/>
      <family val="2"/>
    </font>
    <font>
      <b/>
      <vertAlign val="subscript"/>
      <sz val="10"/>
      <name val="Times New Roman"/>
      <family val="1"/>
    </font>
    <font>
      <b/>
      <vertAlign val="subscript"/>
      <sz val="10"/>
      <color indexed="12"/>
      <name val="Times New Roman"/>
      <family val="1"/>
    </font>
    <font>
      <sz val="10"/>
      <color indexed="12"/>
      <name val="Times New Roman"/>
      <family val="1"/>
    </font>
    <font>
      <sz val="14"/>
      <color indexed="18"/>
      <name val="Times New Roman"/>
      <family val="1"/>
    </font>
    <font>
      <b/>
      <sz val="12"/>
      <name val="Arial"/>
      <family val="2"/>
    </font>
    <font>
      <b/>
      <vertAlign val="subscript"/>
      <sz val="10"/>
      <color indexed="18"/>
      <name val="Times New Roman"/>
      <family val="1"/>
    </font>
    <font>
      <b/>
      <sz val="22"/>
      <name val="Arial"/>
      <family val="2"/>
    </font>
    <font>
      <b/>
      <sz val="2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0" fontId="1" fillId="0" borderId="0"/>
  </cellStyleXfs>
  <cellXfs count="183">
    <xf numFmtId="0" fontId="0" fillId="0" borderId="0" xfId="0"/>
    <xf numFmtId="0" fontId="17" fillId="0" borderId="0" xfId="5" applyFont="1"/>
    <xf numFmtId="0" fontId="2" fillId="0" borderId="0" xfId="5"/>
    <xf numFmtId="0" fontId="4" fillId="0" borderId="0" xfId="5" applyFont="1" applyBorder="1"/>
    <xf numFmtId="0" fontId="2" fillId="0" borderId="0" xfId="5" applyBorder="1"/>
    <xf numFmtId="0" fontId="4" fillId="0" borderId="0" xfId="5" applyFont="1" applyBorder="1" applyAlignment="1">
      <alignment horizontal="left"/>
    </xf>
    <xf numFmtId="0" fontId="3" fillId="0" borderId="0" xfId="5" applyFont="1"/>
    <xf numFmtId="0" fontId="3" fillId="0" borderId="0" xfId="5" quotePrefix="1" applyFont="1" applyAlignment="1">
      <alignment horizontal="left"/>
    </xf>
    <xf numFmtId="0" fontId="6" fillId="0" borderId="1" xfId="5" applyFont="1" applyBorder="1" applyAlignment="1">
      <alignment horizontal="center" vertical="center" wrapText="1"/>
    </xf>
    <xf numFmtId="0" fontId="12" fillId="0" borderId="1" xfId="5" applyFont="1" applyBorder="1" applyAlignment="1">
      <alignment horizontal="center" vertical="center" wrapText="1"/>
    </xf>
    <xf numFmtId="0" fontId="2" fillId="0" borderId="0" xfId="5" applyAlignment="1">
      <alignment horizontal="center" vertical="center" wrapText="1"/>
    </xf>
    <xf numFmtId="0" fontId="18" fillId="0" borderId="0" xfId="5" applyFont="1" applyAlignment="1">
      <alignment horizontal="center" vertical="center" wrapText="1"/>
    </xf>
    <xf numFmtId="0" fontId="2" fillId="0" borderId="1" xfId="5" applyBorder="1" applyAlignment="1">
      <alignment horizontal="center"/>
    </xf>
    <xf numFmtId="0" fontId="16" fillId="0" borderId="1" xfId="5" applyFont="1" applyBorder="1" applyAlignment="1">
      <alignment horizontal="center" vertical="center" wrapText="1"/>
    </xf>
    <xf numFmtId="0" fontId="12" fillId="0" borderId="1" xfId="5" applyFont="1" applyBorder="1" applyAlignment="1">
      <alignment horizontal="center"/>
    </xf>
    <xf numFmtId="0" fontId="2" fillId="0" borderId="0" xfId="5" applyAlignment="1">
      <alignment horizontal="center"/>
    </xf>
    <xf numFmtId="0" fontId="18" fillId="0" borderId="0" xfId="5" applyFont="1" applyAlignment="1">
      <alignment horizontal="center"/>
    </xf>
    <xf numFmtId="0" fontId="3" fillId="0" borderId="0" xfId="5" applyFont="1" applyAlignment="1">
      <alignment horizontal="center"/>
    </xf>
    <xf numFmtId="0" fontId="12" fillId="0" borderId="0" xfId="5" applyFont="1"/>
    <xf numFmtId="0" fontId="6" fillId="0" borderId="0" xfId="5" applyFont="1"/>
    <xf numFmtId="0" fontId="2" fillId="0" borderId="0" xfId="5" quotePrefix="1" applyAlignment="1">
      <alignment horizontal="left"/>
    </xf>
    <xf numFmtId="0" fontId="6" fillId="0" borderId="4" xfId="5" applyFont="1" applyBorder="1" applyAlignment="1">
      <alignment horizontal="center" vertical="center" wrapText="1"/>
    </xf>
    <xf numFmtId="0" fontId="2" fillId="0" borderId="4" xfId="5" applyBorder="1" applyAlignment="1">
      <alignment horizontal="center"/>
    </xf>
    <xf numFmtId="0" fontId="6" fillId="0" borderId="0" xfId="5" applyFont="1" applyBorder="1"/>
    <xf numFmtId="0" fontId="4" fillId="0" borderId="0" xfId="5" applyFont="1"/>
    <xf numFmtId="0" fontId="6" fillId="0" borderId="0" xfId="5" applyFont="1" applyBorder="1" applyAlignment="1">
      <alignment horizontal="center" vertical="center" wrapText="1"/>
    </xf>
    <xf numFmtId="0" fontId="2" fillId="0" borderId="0" xfId="5" applyBorder="1" applyAlignment="1">
      <alignment horizontal="center"/>
    </xf>
    <xf numFmtId="0" fontId="12" fillId="0" borderId="0" xfId="5" applyFont="1" applyBorder="1"/>
    <xf numFmtId="0" fontId="4" fillId="0" borderId="0" xfId="5" quotePrefix="1" applyFont="1" applyBorder="1" applyAlignment="1">
      <alignment horizontal="left"/>
    </xf>
    <xf numFmtId="0" fontId="19" fillId="0" borderId="0" xfId="5" applyFont="1"/>
    <xf numFmtId="0" fontId="19" fillId="0" borderId="0" xfId="5" quotePrefix="1" applyFont="1" applyAlignment="1">
      <alignment horizontal="left"/>
    </xf>
    <xf numFmtId="0" fontId="11" fillId="0" borderId="1" xfId="5" applyFont="1" applyFill="1" applyBorder="1" applyAlignment="1">
      <alignment horizontal="center" vertical="center" wrapText="1"/>
    </xf>
    <xf numFmtId="0" fontId="13" fillId="0" borderId="0" xfId="5" quotePrefix="1" applyFont="1" applyAlignment="1">
      <alignment horizontal="center"/>
    </xf>
    <xf numFmtId="0" fontId="2" fillId="0" borderId="0" xfId="5" quotePrefix="1" applyAlignment="1">
      <alignment horizontal="center"/>
    </xf>
    <xf numFmtId="168" fontId="2" fillId="0" borderId="0" xfId="5" applyNumberFormat="1" applyBorder="1" applyAlignment="1">
      <alignment horizontal="center" vertical="center" wrapText="1"/>
    </xf>
    <xf numFmtId="170" fontId="2" fillId="0" borderId="0" xfId="5" applyNumberFormat="1" applyBorder="1" applyAlignment="1">
      <alignment horizontal="center" vertical="center" wrapText="1"/>
    </xf>
    <xf numFmtId="169" fontId="2" fillId="0" borderId="0" xfId="5" applyNumberFormat="1" applyBorder="1" applyAlignment="1">
      <alignment horizontal="center" vertical="center" wrapText="1"/>
    </xf>
    <xf numFmtId="0" fontId="2" fillId="0" borderId="10" xfId="5" applyBorder="1" applyAlignment="1">
      <alignment horizontal="center" vertical="center" wrapText="1"/>
    </xf>
    <xf numFmtId="0" fontId="2" fillId="2" borderId="7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0" xfId="5" applyFill="1" applyBorder="1" applyAlignment="1">
      <alignment horizontal="center"/>
    </xf>
    <xf numFmtId="0" fontId="2" fillId="0" borderId="2" xfId="5" applyBorder="1" applyAlignment="1">
      <alignment horizontal="center" vertical="center" wrapText="1"/>
    </xf>
    <xf numFmtId="0" fontId="2" fillId="0" borderId="3" xfId="5" applyBorder="1" applyAlignment="1">
      <alignment horizontal="center" vertical="center" wrapText="1"/>
    </xf>
    <xf numFmtId="0" fontId="2" fillId="2" borderId="9" xfId="5" applyFill="1" applyBorder="1" applyAlignment="1">
      <alignment horizontal="center"/>
    </xf>
    <xf numFmtId="0" fontId="2" fillId="0" borderId="4" xfId="5" applyFill="1" applyBorder="1" applyAlignment="1">
      <alignment horizontal="center"/>
    </xf>
    <xf numFmtId="0" fontId="2" fillId="0" borderId="4" xfId="5" applyFill="1" applyBorder="1" applyAlignment="1">
      <alignment horizontal="center" vertical="center" wrapText="1"/>
    </xf>
    <xf numFmtId="0" fontId="2" fillId="0" borderId="0" xfId="5" applyFill="1" applyBorder="1" applyAlignment="1">
      <alignment horizontal="center"/>
    </xf>
    <xf numFmtId="0" fontId="2" fillId="0" borderId="0" xfId="5" applyFill="1" applyBorder="1" applyAlignment="1">
      <alignment horizontal="center" vertical="center" wrapText="1"/>
    </xf>
    <xf numFmtId="0" fontId="2" fillId="0" borderId="0" xfId="5" applyFill="1" applyBorder="1"/>
    <xf numFmtId="0" fontId="2" fillId="0" borderId="0" xfId="5" applyFill="1"/>
    <xf numFmtId="0" fontId="2" fillId="3" borderId="0" xfId="5" applyFill="1"/>
    <xf numFmtId="0" fontId="2" fillId="3" borderId="12" xfId="5" applyFill="1" applyBorder="1" applyAlignment="1">
      <alignment horizontal="center"/>
    </xf>
    <xf numFmtId="0" fontId="2" fillId="3" borderId="10" xfId="5" applyFill="1" applyBorder="1" applyAlignment="1">
      <alignment horizontal="center"/>
    </xf>
    <xf numFmtId="0" fontId="2" fillId="3" borderId="13" xfId="5" applyFill="1" applyBorder="1"/>
    <xf numFmtId="0" fontId="2" fillId="3" borderId="4" xfId="5" applyFill="1" applyBorder="1"/>
    <xf numFmtId="0" fontId="2" fillId="3" borderId="14" xfId="5" applyFill="1" applyBorder="1"/>
    <xf numFmtId="0" fontId="2" fillId="3" borderId="5" xfId="5" applyFill="1" applyBorder="1"/>
    <xf numFmtId="0" fontId="2" fillId="3" borderId="0" xfId="5" applyFill="1" applyBorder="1"/>
    <xf numFmtId="0" fontId="2" fillId="3" borderId="8" xfId="5" applyFill="1" applyBorder="1"/>
    <xf numFmtId="0" fontId="2" fillId="3" borderId="15" xfId="5" applyFill="1" applyBorder="1"/>
    <xf numFmtId="0" fontId="2" fillId="3" borderId="16" xfId="5" applyFill="1" applyBorder="1"/>
    <xf numFmtId="0" fontId="2" fillId="3" borderId="17" xfId="5" applyFill="1" applyBorder="1"/>
    <xf numFmtId="0" fontId="2" fillId="3" borderId="9" xfId="5" applyFill="1" applyBorder="1" applyAlignment="1">
      <alignment horizontal="center"/>
    </xf>
    <xf numFmtId="0" fontId="2" fillId="3" borderId="18" xfId="5" applyFill="1" applyBorder="1" applyAlignment="1">
      <alignment horizontal="center"/>
    </xf>
    <xf numFmtId="0" fontId="2" fillId="0" borderId="0" xfId="5" applyFont="1" applyFill="1"/>
    <xf numFmtId="0" fontId="2" fillId="4" borderId="6" xfId="5" applyFill="1" applyBorder="1" applyAlignment="1">
      <alignment horizontal="center"/>
    </xf>
    <xf numFmtId="0" fontId="2" fillId="4" borderId="10" xfId="5" applyFill="1" applyBorder="1" applyAlignment="1">
      <alignment horizontal="center"/>
    </xf>
    <xf numFmtId="0" fontId="2" fillId="0" borderId="0" xfId="5" applyFont="1" applyFill="1" applyBorder="1"/>
    <xf numFmtId="0" fontId="2" fillId="4" borderId="7" xfId="5" applyFill="1" applyBorder="1" applyAlignment="1">
      <alignment horizontal="center"/>
    </xf>
    <xf numFmtId="0" fontId="2" fillId="4" borderId="12" xfId="5" applyFill="1" applyBorder="1" applyAlignment="1">
      <alignment horizontal="center"/>
    </xf>
    <xf numFmtId="0" fontId="2" fillId="0" borderId="0" xfId="5" applyFont="1" applyFill="1" applyBorder="1" applyAlignment="1">
      <alignment horizontal="center"/>
    </xf>
    <xf numFmtId="0" fontId="2" fillId="4" borderId="10" xfId="5" applyFont="1" applyFill="1" applyBorder="1" applyAlignment="1">
      <alignment horizontal="center"/>
    </xf>
    <xf numFmtId="0" fontId="2" fillId="4" borderId="13" xfId="5" applyFont="1" applyFill="1" applyBorder="1"/>
    <xf numFmtId="0" fontId="2" fillId="4" borderId="4" xfId="5" applyFont="1" applyFill="1" applyBorder="1"/>
    <xf numFmtId="0" fontId="2" fillId="4" borderId="14" xfId="5" applyFont="1" applyFill="1" applyBorder="1"/>
    <xf numFmtId="0" fontId="2" fillId="4" borderId="5" xfId="5" applyFont="1" applyFill="1" applyBorder="1"/>
    <xf numFmtId="0" fontId="2" fillId="4" borderId="0" xfId="5" applyFont="1" applyFill="1" applyBorder="1"/>
    <xf numFmtId="0" fontId="2" fillId="4" borderId="8" xfId="5" applyFont="1" applyFill="1" applyBorder="1"/>
    <xf numFmtId="0" fontId="2" fillId="4" borderId="17" xfId="5" applyFont="1" applyFill="1" applyBorder="1"/>
    <xf numFmtId="0" fontId="2" fillId="4" borderId="9" xfId="5" applyFont="1" applyFill="1" applyBorder="1" applyAlignment="1">
      <alignment horizontal="center"/>
    </xf>
    <xf numFmtId="0" fontId="2" fillId="0" borderId="4" xfId="5" applyFill="1" applyBorder="1"/>
    <xf numFmtId="0" fontId="21" fillId="0" borderId="0" xfId="5" applyFont="1" applyBorder="1"/>
    <xf numFmtId="0" fontId="2" fillId="0" borderId="0" xfId="5" applyBorder="1" applyAlignment="1">
      <alignment horizontal="center" vertical="center" wrapText="1"/>
    </xf>
    <xf numFmtId="0" fontId="22" fillId="0" borderId="0" xfId="5" applyFont="1"/>
    <xf numFmtId="0" fontId="4" fillId="0" borderId="1" xfId="5" applyFont="1" applyBorder="1" applyAlignment="1">
      <alignment horizontal="center" vertical="center" wrapText="1"/>
    </xf>
    <xf numFmtId="0" fontId="4" fillId="0" borderId="0" xfId="5" applyFont="1" applyBorder="1" applyAlignment="1">
      <alignment horizontal="center"/>
    </xf>
    <xf numFmtId="0" fontId="5" fillId="0" borderId="0" xfId="5" applyFont="1" applyBorder="1"/>
    <xf numFmtId="0" fontId="5" fillId="0" borderId="0" xfId="5" applyNumberFormat="1" applyFont="1" applyBorder="1" applyAlignment="1">
      <alignment horizontal="center" vertical="center" wrapText="1"/>
    </xf>
    <xf numFmtId="0" fontId="7" fillId="0" borderId="0" xfId="5" applyFont="1"/>
    <xf numFmtId="0" fontId="7" fillId="0" borderId="0" xfId="5" applyNumberFormat="1" applyFont="1" applyBorder="1" applyAlignment="1">
      <alignment horizontal="center" vertical="center" wrapText="1"/>
    </xf>
    <xf numFmtId="0" fontId="7" fillId="0" borderId="0" xfId="5" applyFont="1" applyBorder="1"/>
    <xf numFmtId="0" fontId="12" fillId="0" borderId="0" xfId="5" applyFont="1" applyBorder="1" applyAlignment="1">
      <alignment horizontal="center" vertical="center" wrapText="1"/>
    </xf>
    <xf numFmtId="0" fontId="10" fillId="0" borderId="1" xfId="5" applyFont="1" applyBorder="1" applyAlignment="1">
      <alignment horizontal="center" vertical="center" wrapText="1"/>
    </xf>
    <xf numFmtId="0" fontId="11" fillId="0" borderId="1" xfId="5" applyFont="1" applyBorder="1" applyAlignment="1">
      <alignment horizontal="center" vertical="center" wrapText="1"/>
    </xf>
    <xf numFmtId="168" fontId="2" fillId="0" borderId="0" xfId="5" applyNumberFormat="1" applyFill="1" applyBorder="1" applyAlignment="1">
      <alignment horizontal="center" vertical="center" wrapText="1"/>
    </xf>
    <xf numFmtId="2" fontId="2" fillId="0" borderId="0" xfId="5" applyNumberFormat="1" applyBorder="1"/>
    <xf numFmtId="0" fontId="9" fillId="0" borderId="7" xfId="5" applyFont="1" applyBorder="1" applyAlignment="1">
      <alignment horizontal="center" vertical="center"/>
    </xf>
    <xf numFmtId="0" fontId="2" fillId="0" borderId="19" xfId="5" applyBorder="1" applyAlignment="1">
      <alignment horizontal="center" vertical="center" wrapText="1"/>
    </xf>
    <xf numFmtId="0" fontId="2" fillId="0" borderId="9" xfId="5" applyBorder="1" applyAlignment="1">
      <alignment horizontal="center" vertical="center" wrapText="1"/>
    </xf>
    <xf numFmtId="0" fontId="20" fillId="0" borderId="1" xfId="5" applyFont="1" applyBorder="1" applyAlignment="1">
      <alignment horizontal="center" vertical="center" wrapText="1"/>
    </xf>
    <xf numFmtId="0" fontId="13" fillId="0" borderId="0" xfId="5" applyFont="1" applyBorder="1" applyAlignment="1">
      <alignment horizontal="center" vertical="center" wrapText="1"/>
    </xf>
    <xf numFmtId="0" fontId="13" fillId="0" borderId="0" xfId="5" applyFont="1" applyBorder="1" applyAlignment="1">
      <alignment horizontal="center" vertical="center"/>
    </xf>
    <xf numFmtId="0" fontId="2" fillId="0" borderId="0" xfId="5" applyBorder="1" applyAlignment="1"/>
    <xf numFmtId="168" fontId="2" fillId="0" borderId="0" xfId="5" applyNumberFormat="1" applyBorder="1" applyAlignment="1"/>
    <xf numFmtId="1" fontId="2" fillId="0" borderId="0" xfId="5" applyNumberFormat="1" applyBorder="1"/>
    <xf numFmtId="169" fontId="2" fillId="0" borderId="0" xfId="5" applyNumberFormat="1"/>
    <xf numFmtId="0" fontId="2" fillId="3" borderId="7" xfId="5" applyFill="1" applyBorder="1" applyAlignment="1">
      <alignment horizontal="center"/>
    </xf>
    <xf numFmtId="0" fontId="2" fillId="3" borderId="6" xfId="5" applyFill="1" applyBorder="1" applyAlignment="1">
      <alignment horizontal="center"/>
    </xf>
    <xf numFmtId="0" fontId="4" fillId="0" borderId="0" xfId="5" applyFont="1" applyFill="1" applyBorder="1" applyAlignment="1">
      <alignment horizontal="center" vertical="center" wrapText="1"/>
    </xf>
    <xf numFmtId="0" fontId="8" fillId="0" borderId="0" xfId="5" applyFont="1" applyFill="1" applyBorder="1" applyAlignment="1">
      <alignment horizontal="center" vertical="center" wrapText="1"/>
    </xf>
    <xf numFmtId="0" fontId="2" fillId="0" borderId="20" xfId="5" applyFont="1" applyBorder="1" applyAlignment="1">
      <alignment horizontal="center" vertical="center" wrapText="1"/>
    </xf>
    <xf numFmtId="168" fontId="2" fillId="0" borderId="20" xfId="5" applyNumberFormat="1" applyFont="1" applyBorder="1" applyAlignment="1">
      <alignment horizontal="center" vertical="center"/>
    </xf>
    <xf numFmtId="169" fontId="2" fillId="0" borderId="20" xfId="5" applyNumberFormat="1" applyFont="1" applyBorder="1" applyAlignment="1">
      <alignment horizontal="center" vertical="center"/>
    </xf>
    <xf numFmtId="0" fontId="29" fillId="0" borderId="0" xfId="5" applyFont="1" applyBorder="1"/>
    <xf numFmtId="0" fontId="12" fillId="0" borderId="7" xfId="5" applyFont="1" applyBorder="1" applyAlignment="1">
      <alignment horizontal="center" vertical="center"/>
    </xf>
    <xf numFmtId="0" fontId="13" fillId="0" borderId="0" xfId="5" applyFont="1" applyBorder="1" applyAlignment="1">
      <alignment vertical="center" wrapText="1"/>
    </xf>
    <xf numFmtId="0" fontId="12" fillId="0" borderId="13" xfId="5" applyFont="1" applyBorder="1" applyAlignment="1">
      <alignment horizontal="center" vertical="center"/>
    </xf>
    <xf numFmtId="0" fontId="12" fillId="0" borderId="0" xfId="5" applyFont="1" applyBorder="1" applyAlignment="1">
      <alignment horizontal="center" vertical="center"/>
    </xf>
    <xf numFmtId="169" fontId="2" fillId="0" borderId="0" xfId="5" applyNumberFormat="1" applyBorder="1" applyAlignment="1"/>
    <xf numFmtId="0" fontId="10" fillId="6" borderId="7" xfId="5" applyFont="1" applyFill="1" applyBorder="1" applyAlignment="1">
      <alignment horizontal="center" vertical="center" wrapText="1"/>
    </xf>
    <xf numFmtId="0" fontId="12" fillId="6" borderId="7" xfId="5" applyFont="1" applyFill="1" applyBorder="1" applyAlignment="1">
      <alignment horizontal="center" vertical="center"/>
    </xf>
    <xf numFmtId="169" fontId="6" fillId="0" borderId="0" xfId="5" applyNumberFormat="1" applyFont="1" applyBorder="1" applyAlignment="1">
      <alignment vertical="center"/>
    </xf>
    <xf numFmtId="169" fontId="2" fillId="0" borderId="0" xfId="5" applyNumberFormat="1" applyBorder="1"/>
    <xf numFmtId="0" fontId="2" fillId="3" borderId="6" xfId="5" applyFill="1" applyBorder="1" applyAlignment="1">
      <alignment horizontal="center"/>
    </xf>
    <xf numFmtId="168" fontId="2" fillId="0" borderId="0" xfId="5" applyNumberFormat="1" applyBorder="1" applyAlignment="1">
      <alignment horizontal="right" vertical="center"/>
    </xf>
    <xf numFmtId="0" fontId="5" fillId="0" borderId="0" xfId="5" applyFont="1" applyBorder="1" applyAlignment="1">
      <alignment horizontal="center" vertical="center" wrapText="1"/>
    </xf>
    <xf numFmtId="168" fontId="2" fillId="7" borderId="20" xfId="5" applyNumberFormat="1" applyFont="1" applyFill="1" applyBorder="1" applyAlignment="1">
      <alignment horizontal="center" vertical="center" wrapText="1"/>
    </xf>
    <xf numFmtId="0" fontId="10" fillId="0" borderId="11" xfId="5" applyFont="1" applyBorder="1" applyAlignment="1">
      <alignment horizontal="center" vertical="center" wrapText="1"/>
    </xf>
    <xf numFmtId="0" fontId="12" fillId="0" borderId="1" xfId="5" applyFont="1" applyBorder="1" applyAlignment="1">
      <alignment horizontal="center" vertical="center"/>
    </xf>
    <xf numFmtId="0" fontId="2" fillId="3" borderId="7" xfId="5" applyFill="1" applyBorder="1" applyAlignment="1">
      <alignment horizontal="center"/>
    </xf>
    <xf numFmtId="169" fontId="6" fillId="0" borderId="0" xfId="5" applyNumberFormat="1" applyFont="1" applyFill="1" applyBorder="1" applyAlignment="1">
      <alignment vertical="center"/>
    </xf>
    <xf numFmtId="0" fontId="12" fillId="6" borderId="24" xfId="5" applyFont="1" applyFill="1" applyBorder="1" applyAlignment="1">
      <alignment horizontal="center" vertical="center"/>
    </xf>
    <xf numFmtId="168" fontId="2" fillId="0" borderId="25" xfId="5" applyNumberFormat="1" applyFill="1" applyBorder="1" applyAlignment="1">
      <alignment horizontal="center" vertical="center" wrapText="1"/>
    </xf>
    <xf numFmtId="168" fontId="2" fillId="0" borderId="27" xfId="5" applyNumberFormat="1" applyFill="1" applyBorder="1" applyAlignment="1">
      <alignment horizontal="center" vertical="center" wrapText="1"/>
    </xf>
    <xf numFmtId="0" fontId="11" fillId="6" borderId="26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/>
    </xf>
    <xf numFmtId="168" fontId="0" fillId="0" borderId="23" xfId="0" applyNumberFormat="1" applyBorder="1"/>
    <xf numFmtId="168" fontId="0" fillId="0" borderId="0" xfId="0" applyNumberFormat="1" applyBorder="1"/>
    <xf numFmtId="168" fontId="2" fillId="0" borderId="0" xfId="5" applyNumberFormat="1" applyBorder="1"/>
    <xf numFmtId="0" fontId="2" fillId="3" borderId="7" xfId="5" applyFill="1" applyBorder="1" applyAlignment="1">
      <alignment horizontal="center"/>
    </xf>
    <xf numFmtId="168" fontId="0" fillId="0" borderId="28" xfId="0" applyNumberFormat="1" applyBorder="1"/>
    <xf numFmtId="168" fontId="0" fillId="0" borderId="27" xfId="0" applyNumberFormat="1" applyBorder="1"/>
    <xf numFmtId="168" fontId="2" fillId="0" borderId="27" xfId="5" applyNumberFormat="1" applyBorder="1"/>
    <xf numFmtId="2" fontId="2" fillId="0" borderId="27" xfId="5" applyNumberFormat="1" applyBorder="1"/>
    <xf numFmtId="169" fontId="0" fillId="0" borderId="3" xfId="0" applyNumberFormat="1" applyFill="1" applyBorder="1"/>
    <xf numFmtId="168" fontId="2" fillId="0" borderId="0" xfId="5" applyNumberFormat="1"/>
    <xf numFmtId="2" fontId="2" fillId="0" borderId="0" xfId="5" applyNumberFormat="1" applyFill="1" applyBorder="1"/>
    <xf numFmtId="0" fontId="2" fillId="0" borderId="0" xfId="5" applyBorder="1" applyAlignment="1">
      <alignment horizontal="center" vertical="center"/>
    </xf>
    <xf numFmtId="2" fontId="2" fillId="0" borderId="0" xfId="5" applyNumberFormat="1" applyBorder="1" applyAlignment="1">
      <alignment horizontal="center" vertical="center"/>
    </xf>
    <xf numFmtId="168" fontId="2" fillId="0" borderId="0" xfId="5" applyNumberFormat="1" applyBorder="1" applyAlignment="1">
      <alignment horizontal="center" vertical="center"/>
    </xf>
    <xf numFmtId="0" fontId="30" fillId="0" borderId="0" xfId="5" applyFont="1" applyBorder="1" applyAlignment="1">
      <alignment vertical="center" wrapText="1"/>
    </xf>
    <xf numFmtId="168" fontId="2" fillId="8" borderId="0" xfId="5" applyNumberFormat="1" applyFill="1" applyBorder="1" applyAlignment="1">
      <alignment horizontal="center" vertical="center" wrapText="1"/>
    </xf>
    <xf numFmtId="2" fontId="2" fillId="8" borderId="0" xfId="5" applyNumberFormat="1" applyFill="1" applyBorder="1"/>
    <xf numFmtId="0" fontId="2" fillId="3" borderId="7" xfId="5" applyFill="1" applyBorder="1" applyAlignment="1">
      <alignment horizontal="center"/>
    </xf>
    <xf numFmtId="171" fontId="0" fillId="0" borderId="0" xfId="0" applyNumberFormat="1" applyAlignment="1">
      <alignment horizontal="right"/>
    </xf>
    <xf numFmtId="171" fontId="6" fillId="0" borderId="0" xfId="5" applyNumberFormat="1" applyFont="1" applyBorder="1" applyAlignment="1">
      <alignment horizontal="right" vertical="center"/>
    </xf>
    <xf numFmtId="171" fontId="2" fillId="0" borderId="0" xfId="5" applyNumberFormat="1" applyFill="1" applyBorder="1" applyAlignment="1">
      <alignment horizontal="right" vertical="center" wrapText="1"/>
    </xf>
    <xf numFmtId="170" fontId="5" fillId="0" borderId="1" xfId="5" applyNumberFormat="1" applyFont="1" applyBorder="1" applyAlignment="1">
      <alignment horizontal="right" vertical="center" wrapText="1"/>
    </xf>
    <xf numFmtId="171" fontId="0" fillId="0" borderId="0" xfId="0" applyNumberFormat="1"/>
    <xf numFmtId="171" fontId="2" fillId="0" borderId="0" xfId="5" applyNumberFormat="1"/>
    <xf numFmtId="171" fontId="6" fillId="0" borderId="0" xfId="5" applyNumberFormat="1" applyFont="1" applyBorder="1" applyAlignment="1">
      <alignment vertical="center"/>
    </xf>
    <xf numFmtId="2" fontId="5" fillId="0" borderId="1" xfId="5" applyNumberFormat="1" applyFont="1" applyBorder="1" applyAlignment="1">
      <alignment horizontal="right" vertical="center" wrapText="1"/>
    </xf>
    <xf numFmtId="2" fontId="2" fillId="0" borderId="1" xfId="5" applyNumberFormat="1" applyBorder="1" applyAlignment="1">
      <alignment horizontal="left"/>
    </xf>
    <xf numFmtId="169" fontId="2" fillId="0" borderId="1" xfId="5" applyNumberFormat="1" applyBorder="1" applyAlignment="1">
      <alignment horizontal="left"/>
    </xf>
    <xf numFmtId="0" fontId="2" fillId="3" borderId="7" xfId="5" applyFill="1" applyBorder="1" applyAlignment="1">
      <alignment horizontal="center"/>
    </xf>
    <xf numFmtId="2" fontId="2" fillId="0" borderId="0" xfId="5" applyNumberFormat="1" applyFill="1" applyBorder="1" applyAlignment="1">
      <alignment horizontal="center" vertical="center" wrapText="1"/>
    </xf>
    <xf numFmtId="2" fontId="2" fillId="0" borderId="0" xfId="5" applyNumberFormat="1" applyBorder="1" applyAlignment="1">
      <alignment horizontal="center"/>
    </xf>
    <xf numFmtId="169" fontId="5" fillId="0" borderId="1" xfId="5" applyNumberFormat="1" applyFont="1" applyBorder="1" applyAlignment="1">
      <alignment horizontal="right" vertical="center" wrapText="1"/>
    </xf>
    <xf numFmtId="0" fontId="2" fillId="3" borderId="7" xfId="5" applyFill="1" applyBorder="1" applyAlignment="1">
      <alignment horizontal="center"/>
    </xf>
    <xf numFmtId="0" fontId="2" fillId="3" borderId="7" xfId="5" applyFill="1" applyBorder="1" applyAlignment="1">
      <alignment horizontal="center"/>
    </xf>
    <xf numFmtId="168" fontId="5" fillId="0" borderId="1" xfId="5" applyNumberFormat="1" applyFont="1" applyBorder="1" applyAlignment="1">
      <alignment horizontal="right" vertical="center" wrapText="1"/>
    </xf>
    <xf numFmtId="168" fontId="2" fillId="0" borderId="0" xfId="5" applyNumberFormat="1" applyBorder="1" applyAlignment="1">
      <alignment horizontal="right"/>
    </xf>
    <xf numFmtId="0" fontId="2" fillId="0" borderId="29" xfId="0" applyFont="1" applyBorder="1" applyAlignment="1">
      <alignment horizontal="right" wrapText="1"/>
    </xf>
    <xf numFmtId="0" fontId="13" fillId="0" borderId="29" xfId="0" applyFont="1" applyBorder="1" applyAlignment="1">
      <alignment horizontal="right" wrapText="1"/>
    </xf>
    <xf numFmtId="0" fontId="2" fillId="6" borderId="20" xfId="5" applyFont="1" applyFill="1" applyBorder="1" applyAlignment="1">
      <alignment horizontal="center" vertical="center" wrapText="1"/>
    </xf>
    <xf numFmtId="0" fontId="13" fillId="5" borderId="20" xfId="5" applyFont="1" applyFill="1" applyBorder="1" applyAlignment="1">
      <alignment horizontal="center" vertical="center" wrapText="1"/>
    </xf>
    <xf numFmtId="0" fontId="2" fillId="5" borderId="21" xfId="5" applyFont="1" applyFill="1" applyBorder="1" applyAlignment="1">
      <alignment horizontal="center" vertical="center" wrapText="1"/>
    </xf>
    <xf numFmtId="0" fontId="2" fillId="5" borderId="22" xfId="5" applyFont="1" applyFill="1" applyBorder="1" applyAlignment="1">
      <alignment horizontal="center" vertical="center" wrapText="1"/>
    </xf>
    <xf numFmtId="0" fontId="13" fillId="2" borderId="7" xfId="5" applyFont="1" applyFill="1" applyBorder="1" applyAlignment="1">
      <alignment horizontal="center"/>
    </xf>
    <xf numFmtId="0" fontId="13" fillId="2" borderId="10" xfId="5" applyFont="1" applyFill="1" applyBorder="1" applyAlignment="1">
      <alignment horizontal="center"/>
    </xf>
    <xf numFmtId="0" fontId="2" fillId="3" borderId="7" xfId="5" applyFill="1" applyBorder="1" applyAlignment="1">
      <alignment horizontal="center"/>
    </xf>
    <xf numFmtId="0" fontId="2" fillId="3" borderId="11" xfId="5" applyFill="1" applyBorder="1" applyAlignment="1">
      <alignment horizontal="center"/>
    </xf>
    <xf numFmtId="0" fontId="32" fillId="0" borderId="0" xfId="5" applyFont="1"/>
  </cellXfs>
  <cellStyles count="7">
    <cellStyle name="Millares [0]_Libro2 Gráfico 1" xfId="1"/>
    <cellStyle name="Millares_Libro2 Gráfico 1" xfId="2"/>
    <cellStyle name="Moneda [0]_Libro2 Gráfico 1" xfId="3"/>
    <cellStyle name="Moneda_Libro2 Gráfico 1" xfId="4"/>
    <cellStyle name="Normal" xfId="0" builtinId="0"/>
    <cellStyle name="Normal 2" xfId="5"/>
    <cellStyle name="Normal 3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'183'!$B$18:$B$89</c:f>
              <c:numCache>
                <c:formatCode>0.0</c:formatCode>
                <c:ptCount val="72"/>
                <c:pt idx="0">
                  <c:v>0</c:v>
                </c:pt>
                <c:pt idx="1">
                  <c:v>2.3333333334303461</c:v>
                </c:pt>
                <c:pt idx="2">
                  <c:v>4.4166666667442769</c:v>
                </c:pt>
                <c:pt idx="3">
                  <c:v>5.9500000000116415</c:v>
                </c:pt>
                <c:pt idx="4">
                  <c:v>20.333333333430346</c:v>
                </c:pt>
                <c:pt idx="5">
                  <c:v>22.416666666744277</c:v>
                </c:pt>
                <c:pt idx="6">
                  <c:v>26.416666666686069</c:v>
                </c:pt>
                <c:pt idx="7">
                  <c:v>28.583333333430346</c:v>
                </c:pt>
                <c:pt idx="8">
                  <c:v>29.616666666639503</c:v>
                </c:pt>
                <c:pt idx="9">
                  <c:v>44.666666666627862</c:v>
                </c:pt>
                <c:pt idx="10">
                  <c:v>48</c:v>
                </c:pt>
                <c:pt idx="11">
                  <c:v>49.833333333372138</c:v>
                </c:pt>
                <c:pt idx="12">
                  <c:v>52.833333333372138</c:v>
                </c:pt>
                <c:pt idx="13">
                  <c:v>68.500000000116415</c:v>
                </c:pt>
                <c:pt idx="14">
                  <c:v>77.583333333372138</c:v>
                </c:pt>
                <c:pt idx="15" formatCode="0.00">
                  <c:v>92.583333333372138</c:v>
                </c:pt>
                <c:pt idx="16" formatCode="0.00">
                  <c:v>96.149999999965075</c:v>
                </c:pt>
                <c:pt idx="17" formatCode="0.00">
                  <c:v>99.966666666674428</c:v>
                </c:pt>
                <c:pt idx="18" formatCode="0.00">
                  <c:v>101.93333333329065</c:v>
                </c:pt>
                <c:pt idx="19" formatCode="0.00">
                  <c:v>103.33333333331393</c:v>
                </c:pt>
                <c:pt idx="20" formatCode="0.00">
                  <c:v>144.33333333337214</c:v>
                </c:pt>
                <c:pt idx="21" formatCode="0.00">
                  <c:v>165.08333333343035</c:v>
                </c:pt>
              </c:numCache>
            </c:numRef>
          </c:xVal>
          <c:yVal>
            <c:numRef>
              <c:f>'183'!$C$18:$C$89</c:f>
              <c:numCache>
                <c:formatCode>0.0000</c:formatCode>
                <c:ptCount val="72"/>
                <c:pt idx="0">
                  <c:v>0.44166666666666665</c:v>
                </c:pt>
                <c:pt idx="1">
                  <c:v>0.47833333333333333</c:v>
                </c:pt>
                <c:pt idx="2">
                  <c:v>0.75166666666666659</c:v>
                </c:pt>
                <c:pt idx="3">
                  <c:v>1.3566666666666667</c:v>
                </c:pt>
                <c:pt idx="4">
                  <c:v>5.5040000000000004</c:v>
                </c:pt>
                <c:pt idx="5">
                  <c:v>5.0866666666666669</c:v>
                </c:pt>
                <c:pt idx="6">
                  <c:v>5.6066666666666665</c:v>
                </c:pt>
                <c:pt idx="7">
                  <c:v>5.8066666666666658</c:v>
                </c:pt>
                <c:pt idx="8">
                  <c:v>5.3999999999999995</c:v>
                </c:pt>
                <c:pt idx="9">
                  <c:v>5.8633333333333342</c:v>
                </c:pt>
                <c:pt idx="10">
                  <c:v>5.7666666666666657</c:v>
                </c:pt>
                <c:pt idx="11">
                  <c:v>5.8466666666666667</c:v>
                </c:pt>
                <c:pt idx="12">
                  <c:v>6.1333333333333329</c:v>
                </c:pt>
                <c:pt idx="13">
                  <c:v>5.8566666666666665</c:v>
                </c:pt>
                <c:pt idx="14">
                  <c:v>6.8466666666666667</c:v>
                </c:pt>
                <c:pt idx="15">
                  <c:v>6.169999999999999</c:v>
                </c:pt>
                <c:pt idx="16">
                  <c:v>6.7333333333333343</c:v>
                </c:pt>
                <c:pt idx="17">
                  <c:v>5.3466666666666667</c:v>
                </c:pt>
                <c:pt idx="18">
                  <c:v>6.4266666666666667</c:v>
                </c:pt>
                <c:pt idx="19">
                  <c:v>6.88</c:v>
                </c:pt>
                <c:pt idx="20">
                  <c:v>5.8433333333333328</c:v>
                </c:pt>
                <c:pt idx="21">
                  <c:v>6.43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380-4C94-A317-DA8B7F19190D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'183'!$F$18:$F$103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  <c:pt idx="20">
                  <c:v>60</c:v>
                </c:pt>
                <c:pt idx="21">
                  <c:v>65</c:v>
                </c:pt>
                <c:pt idx="22">
                  <c:v>70</c:v>
                </c:pt>
                <c:pt idx="23">
                  <c:v>75</c:v>
                </c:pt>
                <c:pt idx="24">
                  <c:v>80</c:v>
                </c:pt>
                <c:pt idx="25">
                  <c:v>85</c:v>
                </c:pt>
                <c:pt idx="26">
                  <c:v>90</c:v>
                </c:pt>
                <c:pt idx="27">
                  <c:v>95</c:v>
                </c:pt>
                <c:pt idx="28">
                  <c:v>100</c:v>
                </c:pt>
                <c:pt idx="29">
                  <c:v>105</c:v>
                </c:pt>
                <c:pt idx="30">
                  <c:v>110</c:v>
                </c:pt>
                <c:pt idx="31">
                  <c:v>115</c:v>
                </c:pt>
                <c:pt idx="32">
                  <c:v>120</c:v>
                </c:pt>
                <c:pt idx="33">
                  <c:v>125</c:v>
                </c:pt>
                <c:pt idx="34">
                  <c:v>130</c:v>
                </c:pt>
                <c:pt idx="35">
                  <c:v>135</c:v>
                </c:pt>
                <c:pt idx="36">
                  <c:v>140</c:v>
                </c:pt>
                <c:pt idx="37">
                  <c:v>145</c:v>
                </c:pt>
                <c:pt idx="38">
                  <c:v>150</c:v>
                </c:pt>
                <c:pt idx="39">
                  <c:v>155</c:v>
                </c:pt>
                <c:pt idx="40">
                  <c:v>160</c:v>
                </c:pt>
                <c:pt idx="41">
                  <c:v>165</c:v>
                </c:pt>
                <c:pt idx="42">
                  <c:v>170</c:v>
                </c:pt>
              </c:numCache>
            </c:numRef>
          </c:xVal>
          <c:yVal>
            <c:numRef>
              <c:f>'183'!$G$18:$G$103</c:f>
              <c:numCache>
                <c:formatCode>0.0</c:formatCode>
                <c:ptCount val="86"/>
                <c:pt idx="0">
                  <c:v>0.48375059596374115</c:v>
                </c:pt>
                <c:pt idx="1">
                  <c:v>0.52632662624387805</c:v>
                </c:pt>
                <c:pt idx="2">
                  <c:v>0.59584324827626522</c:v>
                </c:pt>
                <c:pt idx="3">
                  <c:v>0.69947161933647306</c:v>
                </c:pt>
                <c:pt idx="4">
                  <c:v>0.84232510773338043</c:v>
                </c:pt>
                <c:pt idx="5">
                  <c:v>1.0264483983749293</c:v>
                </c:pt>
                <c:pt idx="6">
                  <c:v>1.250448831992736</c:v>
                </c:pt>
                <c:pt idx="7">
                  <c:v>1.5097784769574887</c:v>
                </c:pt>
                <c:pt idx="8">
                  <c:v>1.7974939274800896</c:v>
                </c:pt>
                <c:pt idx="9">
                  <c:v>2.1052443945898478</c:v>
                </c:pt>
                <c:pt idx="10">
                  <c:v>2.4242565598581951</c:v>
                </c:pt>
                <c:pt idx="11">
                  <c:v>3.9349821564882594</c:v>
                </c:pt>
                <c:pt idx="12">
                  <c:v>4.9849730282332354</c:v>
                </c:pt>
                <c:pt idx="13">
                  <c:v>5.5741163192864631</c:v>
                </c:pt>
                <c:pt idx="14">
                  <c:v>5.8728209598740717</c:v>
                </c:pt>
                <c:pt idx="15">
                  <c:v>6.0172489437263543</c:v>
                </c:pt>
                <c:pt idx="16">
                  <c:v>6.085554611598198</c:v>
                </c:pt>
                <c:pt idx="17">
                  <c:v>6.1175286497729084</c:v>
                </c:pt>
                <c:pt idx="18">
                  <c:v>6.1324244881127106</c:v>
                </c:pt>
                <c:pt idx="19">
                  <c:v>6.1393486959921626</c:v>
                </c:pt>
                <c:pt idx="20">
                  <c:v>6.1425640492233713</c:v>
                </c:pt>
                <c:pt idx="21">
                  <c:v>6.144056431505982</c:v>
                </c:pt>
                <c:pt idx="22">
                  <c:v>6.1447489563282272</c:v>
                </c:pt>
                <c:pt idx="23">
                  <c:v>6.1450702824275929</c:v>
                </c:pt>
                <c:pt idx="24">
                  <c:v>6.1452193681198297</c:v>
                </c:pt>
                <c:pt idx="25">
                  <c:v>6.1452885378894928</c:v>
                </c:pt>
                <c:pt idx="26">
                  <c:v>6.1453206295536384</c:v>
                </c:pt>
                <c:pt idx="27">
                  <c:v>6.1453355185725256</c:v>
                </c:pt>
                <c:pt idx="28">
                  <c:v>6.1453424263599503</c:v>
                </c:pt>
                <c:pt idx="29">
                  <c:v>6.1453456312372214</c:v>
                </c:pt>
                <c:pt idx="30">
                  <c:v>6.1453471181436381</c:v>
                </c:pt>
                <c:pt idx="31">
                  <c:v>6.1453478079953916</c:v>
                </c:pt>
                <c:pt idx="32">
                  <c:v>6.1453481280527855</c:v>
                </c:pt>
                <c:pt idx="33">
                  <c:v>6.145348276543718</c:v>
                </c:pt>
                <c:pt idx="34">
                  <c:v>6.1453483454362265</c:v>
                </c:pt>
                <c:pt idx="35">
                  <c:v>6.1453483773989701</c:v>
                </c:pt>
                <c:pt idx="36">
                  <c:v>6.1453483922281151</c:v>
                </c:pt>
                <c:pt idx="37">
                  <c:v>6.1453483991081113</c:v>
                </c:pt>
                <c:pt idx="38">
                  <c:v>6.1453484023000913</c:v>
                </c:pt>
                <c:pt idx="39">
                  <c:v>6.1453484037810133</c:v>
                </c:pt>
                <c:pt idx="40">
                  <c:v>6.1453484044680895</c:v>
                </c:pt>
                <c:pt idx="41">
                  <c:v>6.1453484047868585</c:v>
                </c:pt>
                <c:pt idx="42">
                  <c:v>6.1453484049347518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380-4C94-A317-DA8B7F1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4928"/>
        <c:axId val="-1699321120"/>
      </c:scatterChart>
      <c:valAx>
        <c:axId val="-169932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(hours)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1120"/>
        <c:crosses val="autoZero"/>
        <c:crossBetween val="midCat"/>
      </c:valAx>
      <c:valAx>
        <c:axId val="-16993211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OD 600nm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4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'1202'!$B$18:$B$90</c:f>
              <c:numCache>
                <c:formatCode>0.0</c:formatCode>
                <c:ptCount val="73"/>
                <c:pt idx="0">
                  <c:v>0</c:v>
                </c:pt>
                <c:pt idx="1">
                  <c:v>2.3333333334303461</c:v>
                </c:pt>
                <c:pt idx="2">
                  <c:v>4.4166666667442769</c:v>
                </c:pt>
                <c:pt idx="4">
                  <c:v>20.333333333430346</c:v>
                </c:pt>
                <c:pt idx="5">
                  <c:v>22.416666666744277</c:v>
                </c:pt>
                <c:pt idx="6">
                  <c:v>26.416666666686069</c:v>
                </c:pt>
                <c:pt idx="7">
                  <c:v>28.583333333430346</c:v>
                </c:pt>
                <c:pt idx="8">
                  <c:v>29.616666666639503</c:v>
                </c:pt>
                <c:pt idx="9">
                  <c:v>44.666666666627862</c:v>
                </c:pt>
                <c:pt idx="10">
                  <c:v>48</c:v>
                </c:pt>
                <c:pt idx="11">
                  <c:v>49.833333333372138</c:v>
                </c:pt>
                <c:pt idx="12">
                  <c:v>52.833333333372138</c:v>
                </c:pt>
                <c:pt idx="13">
                  <c:v>68.500000000116415</c:v>
                </c:pt>
                <c:pt idx="14">
                  <c:v>77.583333333372138</c:v>
                </c:pt>
                <c:pt idx="15" formatCode="0.00">
                  <c:v>92.583333333372138</c:v>
                </c:pt>
                <c:pt idx="16" formatCode="0.00">
                  <c:v>96.149999999965075</c:v>
                </c:pt>
                <c:pt idx="17" formatCode="0.00">
                  <c:v>99.966666666674428</c:v>
                </c:pt>
                <c:pt idx="18" formatCode="0.00">
                  <c:v>101.93333333329065</c:v>
                </c:pt>
                <c:pt idx="19" formatCode="0.00">
                  <c:v>103.33333333331393</c:v>
                </c:pt>
                <c:pt idx="20" formatCode="0.00">
                  <c:v>144.33333333337214</c:v>
                </c:pt>
                <c:pt idx="21" formatCode="0.00">
                  <c:v>165.08333333343035</c:v>
                </c:pt>
              </c:numCache>
            </c:numRef>
          </c:xVal>
          <c:yVal>
            <c:numRef>
              <c:f>'1202'!$C$18:$C$90</c:f>
              <c:numCache>
                <c:formatCode>0.0000</c:formatCode>
                <c:ptCount val="73"/>
                <c:pt idx="0">
                  <c:v>0.47416666666666663</c:v>
                </c:pt>
                <c:pt idx="1">
                  <c:v>0.4466666666666666</c:v>
                </c:pt>
                <c:pt idx="2">
                  <c:v>0.505</c:v>
                </c:pt>
                <c:pt idx="4">
                  <c:v>5.0233333333333334</c:v>
                </c:pt>
                <c:pt idx="5">
                  <c:v>4.546666666666666</c:v>
                </c:pt>
                <c:pt idx="6">
                  <c:v>4.9866666666666672</c:v>
                </c:pt>
                <c:pt idx="7">
                  <c:v>5.5</c:v>
                </c:pt>
                <c:pt idx="8">
                  <c:v>5.28</c:v>
                </c:pt>
                <c:pt idx="9">
                  <c:v>5.6433333333333335</c:v>
                </c:pt>
                <c:pt idx="10">
                  <c:v>5.6066666666666665</c:v>
                </c:pt>
                <c:pt idx="11">
                  <c:v>5.66</c:v>
                </c:pt>
                <c:pt idx="12">
                  <c:v>5.8733333333333322</c:v>
                </c:pt>
                <c:pt idx="13">
                  <c:v>6.003333333333333</c:v>
                </c:pt>
                <c:pt idx="14">
                  <c:v>6.7133333333333338</c:v>
                </c:pt>
                <c:pt idx="15">
                  <c:v>6.0533333333333319</c:v>
                </c:pt>
                <c:pt idx="16">
                  <c:v>6.4533333333333331</c:v>
                </c:pt>
                <c:pt idx="17">
                  <c:v>5.4866666666666672</c:v>
                </c:pt>
                <c:pt idx="18">
                  <c:v>6.0666666666666664</c:v>
                </c:pt>
                <c:pt idx="19">
                  <c:v>6.28</c:v>
                </c:pt>
                <c:pt idx="20">
                  <c:v>5.62</c:v>
                </c:pt>
                <c:pt idx="21">
                  <c:v>6.94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37F-4B3E-A620-31CC273D73B0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'1202'!$F$18:$F$103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40</c:v>
                </c:pt>
                <c:pt idx="39">
                  <c:v>42</c:v>
                </c:pt>
                <c:pt idx="40">
                  <c:v>44</c:v>
                </c:pt>
                <c:pt idx="41">
                  <c:v>46</c:v>
                </c:pt>
                <c:pt idx="42">
                  <c:v>48</c:v>
                </c:pt>
                <c:pt idx="43">
                  <c:v>50</c:v>
                </c:pt>
                <c:pt idx="44">
                  <c:v>52</c:v>
                </c:pt>
                <c:pt idx="45">
                  <c:v>54</c:v>
                </c:pt>
                <c:pt idx="46">
                  <c:v>56</c:v>
                </c:pt>
                <c:pt idx="47">
                  <c:v>58</c:v>
                </c:pt>
                <c:pt idx="48">
                  <c:v>60</c:v>
                </c:pt>
                <c:pt idx="49">
                  <c:v>62</c:v>
                </c:pt>
                <c:pt idx="50">
                  <c:v>64</c:v>
                </c:pt>
                <c:pt idx="51">
                  <c:v>66</c:v>
                </c:pt>
                <c:pt idx="52">
                  <c:v>68</c:v>
                </c:pt>
                <c:pt idx="53">
                  <c:v>70</c:v>
                </c:pt>
                <c:pt idx="54">
                  <c:v>72</c:v>
                </c:pt>
                <c:pt idx="55">
                  <c:v>74</c:v>
                </c:pt>
                <c:pt idx="56">
                  <c:v>76</c:v>
                </c:pt>
                <c:pt idx="57">
                  <c:v>78</c:v>
                </c:pt>
                <c:pt idx="58">
                  <c:v>80</c:v>
                </c:pt>
                <c:pt idx="59">
                  <c:v>82</c:v>
                </c:pt>
                <c:pt idx="60">
                  <c:v>84</c:v>
                </c:pt>
                <c:pt idx="61">
                  <c:v>86</c:v>
                </c:pt>
                <c:pt idx="62">
                  <c:v>88</c:v>
                </c:pt>
                <c:pt idx="63">
                  <c:v>90</c:v>
                </c:pt>
                <c:pt idx="64">
                  <c:v>92</c:v>
                </c:pt>
                <c:pt idx="65">
                  <c:v>94</c:v>
                </c:pt>
                <c:pt idx="66">
                  <c:v>96</c:v>
                </c:pt>
                <c:pt idx="67">
                  <c:v>98</c:v>
                </c:pt>
                <c:pt idx="68">
                  <c:v>100</c:v>
                </c:pt>
                <c:pt idx="69">
                  <c:v>105</c:v>
                </c:pt>
                <c:pt idx="70">
                  <c:v>110</c:v>
                </c:pt>
                <c:pt idx="71">
                  <c:v>115</c:v>
                </c:pt>
                <c:pt idx="72">
                  <c:v>120</c:v>
                </c:pt>
                <c:pt idx="73">
                  <c:v>125</c:v>
                </c:pt>
                <c:pt idx="74">
                  <c:v>130</c:v>
                </c:pt>
                <c:pt idx="75">
                  <c:v>135</c:v>
                </c:pt>
                <c:pt idx="76">
                  <c:v>140</c:v>
                </c:pt>
                <c:pt idx="77">
                  <c:v>145</c:v>
                </c:pt>
                <c:pt idx="78">
                  <c:v>150</c:v>
                </c:pt>
                <c:pt idx="79">
                  <c:v>155</c:v>
                </c:pt>
                <c:pt idx="80">
                  <c:v>160</c:v>
                </c:pt>
                <c:pt idx="81">
                  <c:v>165</c:v>
                </c:pt>
                <c:pt idx="82">
                  <c:v>170</c:v>
                </c:pt>
                <c:pt idx="83">
                  <c:v>175</c:v>
                </c:pt>
              </c:numCache>
            </c:numRef>
          </c:xVal>
          <c:yVal>
            <c:numRef>
              <c:f>'1202'!$G$18:$G$103</c:f>
              <c:numCache>
                <c:formatCode>0.0</c:formatCode>
                <c:ptCount val="86"/>
                <c:pt idx="0">
                  <c:v>0.49528646265454879</c:v>
                </c:pt>
                <c:pt idx="1">
                  <c:v>0.51728133071423243</c:v>
                </c:pt>
                <c:pt idx="2">
                  <c:v>0.55449516185582182</c:v>
                </c:pt>
                <c:pt idx="3">
                  <c:v>0.61236615162495001</c:v>
                </c:pt>
                <c:pt idx="4">
                  <c:v>0.69596960951362852</c:v>
                </c:pt>
                <c:pt idx="5">
                  <c:v>0.8092220740820304</c:v>
                </c:pt>
                <c:pt idx="6">
                  <c:v>0.95425803041968504</c:v>
                </c:pt>
                <c:pt idx="7">
                  <c:v>1.1311087411534202</c:v>
                </c:pt>
                <c:pt idx="8">
                  <c:v>1.3377175406150679</c:v>
                </c:pt>
                <c:pt idx="9">
                  <c:v>1.5702413076596964</c:v>
                </c:pt>
                <c:pt idx="10">
                  <c:v>1.8235375041751694</c:v>
                </c:pt>
                <c:pt idx="11">
                  <c:v>2.0917241318410977</c:v>
                </c:pt>
                <c:pt idx="12">
                  <c:v>2.3687166564060176</c:v>
                </c:pt>
                <c:pt idx="13">
                  <c:v>2.6486770746703461</c:v>
                </c:pt>
                <c:pt idx="14">
                  <c:v>2.9263433548263977</c:v>
                </c:pt>
                <c:pt idx="15">
                  <c:v>3.1972346470992399</c:v>
                </c:pt>
                <c:pt idx="16">
                  <c:v>3.4577458272204735</c:v>
                </c:pt>
                <c:pt idx="17">
                  <c:v>3.7051543217657623</c:v>
                </c:pt>
                <c:pt idx="18">
                  <c:v>3.9375647116807513</c:v>
                </c:pt>
                <c:pt idx="19">
                  <c:v>4.1538147240914416</c:v>
                </c:pt>
                <c:pt idx="20">
                  <c:v>4.3533620401223274</c:v>
                </c:pt>
                <c:pt idx="21">
                  <c:v>4.5361664373427342</c:v>
                </c:pt>
                <c:pt idx="22">
                  <c:v>4.7025771276405788</c:v>
                </c:pt>
                <c:pt idx="23">
                  <c:v>4.8532312416417636</c:v>
                </c:pt>
                <c:pt idx="24">
                  <c:v>4.9889664127814601</c:v>
                </c:pt>
                <c:pt idx="25">
                  <c:v>5.1107482921605225</c:v>
                </c:pt>
                <c:pt idx="26">
                  <c:v>5.2196124455870834</c:v>
                </c:pt>
                <c:pt idx="27">
                  <c:v>5.3166192810153188</c:v>
                </c:pt>
                <c:pt idx="28">
                  <c:v>5.4028202683247617</c:v>
                </c:pt>
                <c:pt idx="29">
                  <c:v>5.4792336085121178</c:v>
                </c:pt>
                <c:pt idx="30">
                  <c:v>5.5468275800617377</c:v>
                </c:pt>
                <c:pt idx="31">
                  <c:v>5.6065099591224357</c:v>
                </c:pt>
                <c:pt idx="32">
                  <c:v>5.6591221238104339</c:v>
                </c:pt>
                <c:pt idx="33">
                  <c:v>5.7054366769430001</c:v>
                </c:pt>
                <c:pt idx="34">
                  <c:v>5.7461576350683998</c:v>
                </c:pt>
                <c:pt idx="35">
                  <c:v>5.7819224237190365</c:v>
                </c:pt>
                <c:pt idx="36">
                  <c:v>5.813305084680648</c:v>
                </c:pt>
                <c:pt idx="37">
                  <c:v>5.8408202400281244</c:v>
                </c:pt>
                <c:pt idx="38">
                  <c:v>5.9045085336151093</c:v>
                </c:pt>
                <c:pt idx="39">
                  <c:v>5.9347954746689879</c:v>
                </c:pt>
                <c:pt idx="40">
                  <c:v>5.9579349344471808</c:v>
                </c:pt>
                <c:pt idx="41">
                  <c:v>5.9755929330234441</c:v>
                </c:pt>
                <c:pt idx="42">
                  <c:v>5.9890559479864951</c:v>
                </c:pt>
                <c:pt idx="43">
                  <c:v>5.9993136157657911</c:v>
                </c:pt>
                <c:pt idx="44">
                  <c:v>6.0071250536563312</c:v>
                </c:pt>
                <c:pt idx="45">
                  <c:v>6.013071302420995</c:v>
                </c:pt>
                <c:pt idx="46">
                  <c:v>6.0175963767160461</c:v>
                </c:pt>
                <c:pt idx="47">
                  <c:v>6.0210391619737678</c:v>
                </c:pt>
                <c:pt idx="48">
                  <c:v>6.0236580644632145</c:v>
                </c:pt>
                <c:pt idx="49">
                  <c:v>6.0256499841914017</c:v>
                </c:pt>
                <c:pt idx="50">
                  <c:v>6.0271648741448391</c:v>
                </c:pt>
                <c:pt idx="51">
                  <c:v>6.0283168873419797</c:v>
                </c:pt>
                <c:pt idx="52">
                  <c:v>6.0291928968549371</c:v>
                </c:pt>
                <c:pt idx="53">
                  <c:v>6.029858999537911</c:v>
                </c:pt>
                <c:pt idx="54">
                  <c:v>6.0303654757966587</c:v>
                </c:pt>
                <c:pt idx="55">
                  <c:v>6.0307505691432226</c:v>
                </c:pt>
                <c:pt idx="56">
                  <c:v>6.0310433647693884</c:v>
                </c:pt>
                <c:pt idx="57">
                  <c:v>6.0312659809892448</c:v>
                </c:pt>
                <c:pt idx="58">
                  <c:v>6.0314352370366695</c:v>
                </c:pt>
                <c:pt idx="59">
                  <c:v>6.0315639220330759</c:v>
                </c:pt>
                <c:pt idx="60">
                  <c:v>6.0316617603209046</c:v>
                </c:pt>
                <c:pt idx="61">
                  <c:v>6.031736145712097</c:v>
                </c:pt>
                <c:pt idx="62">
                  <c:v>6.0317926999097757</c:v>
                </c:pt>
                <c:pt idx="63">
                  <c:v>6.0318356971729692</c:v>
                </c:pt>
                <c:pt idx="64">
                  <c:v>6.0318683872428238</c:v>
                </c:pt>
                <c:pt idx="65">
                  <c:v>6.0318932408926464</c:v>
                </c:pt>
                <c:pt idx="66">
                  <c:v>6.0319121366351673</c:v>
                </c:pt>
                <c:pt idx="67">
                  <c:v>6.0319265026840583</c:v>
                </c:pt>
                <c:pt idx="68">
                  <c:v>6.0319374248911384</c:v>
                </c:pt>
                <c:pt idx="69">
                  <c:v>6.031954606214736</c:v>
                </c:pt>
                <c:pt idx="70">
                  <c:v>6.0319632656151558</c:v>
                </c:pt>
                <c:pt idx="71">
                  <c:v>6.0319676299546519</c:v>
                </c:pt>
                <c:pt idx="72">
                  <c:v>6.03196982958133</c:v>
                </c:pt>
                <c:pt idx="73">
                  <c:v>6.0319709381926341</c:v>
                </c:pt>
                <c:pt idx="74">
                  <c:v>6.0319714969323748</c:v>
                </c:pt>
                <c:pt idx="75">
                  <c:v>6.0319717785370059</c:v>
                </c:pt>
                <c:pt idx="76">
                  <c:v>6.031971920465633</c:v>
                </c:pt>
                <c:pt idx="77">
                  <c:v>6.0319719919976063</c:v>
                </c:pt>
                <c:pt idx="78">
                  <c:v>6.0319720280496938</c:v>
                </c:pt>
                <c:pt idx="79">
                  <c:v>6.0319720462199307</c:v>
                </c:pt>
                <c:pt idx="80">
                  <c:v>6.0319720553777234</c:v>
                </c:pt>
                <c:pt idx="81">
                  <c:v>6.0319720599932474</c:v>
                </c:pt>
                <c:pt idx="82">
                  <c:v>6.0319720623194684</c:v>
                </c:pt>
                <c:pt idx="83">
                  <c:v>6.0319720634918852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7F-4B3E-A620-31CC273D7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7648"/>
        <c:axId val="-1699334176"/>
      </c:scatterChart>
      <c:valAx>
        <c:axId val="-169932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4176"/>
        <c:crosses val="autoZero"/>
        <c:crossBetween val="midCat"/>
      </c:valAx>
      <c:valAx>
        <c:axId val="-1699334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76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'1239'!$B$18:$B$84</c:f>
              <c:numCache>
                <c:formatCode>0.0</c:formatCode>
                <c:ptCount val="67"/>
                <c:pt idx="0">
                  <c:v>0</c:v>
                </c:pt>
                <c:pt idx="1">
                  <c:v>2.3333333334303461</c:v>
                </c:pt>
                <c:pt idx="2">
                  <c:v>4.4166666667442769</c:v>
                </c:pt>
                <c:pt idx="3">
                  <c:v>5.9500000000116415</c:v>
                </c:pt>
                <c:pt idx="4">
                  <c:v>20.333333333430346</c:v>
                </c:pt>
                <c:pt idx="5">
                  <c:v>22.416666666744277</c:v>
                </c:pt>
                <c:pt idx="6">
                  <c:v>26.416666666686069</c:v>
                </c:pt>
                <c:pt idx="7">
                  <c:v>28.583333333430346</c:v>
                </c:pt>
                <c:pt idx="8">
                  <c:v>29.616666666639503</c:v>
                </c:pt>
                <c:pt idx="9">
                  <c:v>44.666666666627862</c:v>
                </c:pt>
                <c:pt idx="10">
                  <c:v>48</c:v>
                </c:pt>
                <c:pt idx="11">
                  <c:v>49.833333333372138</c:v>
                </c:pt>
                <c:pt idx="12">
                  <c:v>52.833333333372138</c:v>
                </c:pt>
                <c:pt idx="13">
                  <c:v>68.500000000116415</c:v>
                </c:pt>
                <c:pt idx="14">
                  <c:v>72.700000000011642</c:v>
                </c:pt>
                <c:pt idx="15">
                  <c:v>77.583333333372138</c:v>
                </c:pt>
                <c:pt idx="16">
                  <c:v>92.583333333372138</c:v>
                </c:pt>
                <c:pt idx="17" formatCode="0.00">
                  <c:v>96.149999999965075</c:v>
                </c:pt>
                <c:pt idx="18" formatCode="0.00">
                  <c:v>99.966666666674428</c:v>
                </c:pt>
                <c:pt idx="19" formatCode="0.00">
                  <c:v>101.93333333329065</c:v>
                </c:pt>
                <c:pt idx="20" formatCode="0.00">
                  <c:v>103.33333333331393</c:v>
                </c:pt>
                <c:pt idx="21" formatCode="0.00">
                  <c:v>144.33333333337214</c:v>
                </c:pt>
                <c:pt idx="22" formatCode="0.00">
                  <c:v>165.08333333343035</c:v>
                </c:pt>
              </c:numCache>
            </c:numRef>
          </c:xVal>
          <c:yVal>
            <c:numRef>
              <c:f>'1239'!$C$18:$C$84</c:f>
              <c:numCache>
                <c:formatCode>0.000</c:formatCode>
                <c:ptCount val="67"/>
                <c:pt idx="0">
                  <c:v>0.40250000000000002</c:v>
                </c:pt>
                <c:pt idx="1">
                  <c:v>0.40666666666666668</c:v>
                </c:pt>
                <c:pt idx="2">
                  <c:v>0.6</c:v>
                </c:pt>
                <c:pt idx="3">
                  <c:v>1.1933333333333334</c:v>
                </c:pt>
                <c:pt idx="4">
                  <c:v>5.3233333333333333</c:v>
                </c:pt>
                <c:pt idx="5">
                  <c:v>5.0333333333333341</c:v>
                </c:pt>
                <c:pt idx="6">
                  <c:v>5.7466666666666661</c:v>
                </c:pt>
                <c:pt idx="7">
                  <c:v>5.2666666666666666</c:v>
                </c:pt>
                <c:pt idx="8">
                  <c:v>5.12</c:v>
                </c:pt>
                <c:pt idx="9">
                  <c:v>5.4533333333333331</c:v>
                </c:pt>
                <c:pt idx="10">
                  <c:v>5.413333333333334</c:v>
                </c:pt>
                <c:pt idx="11">
                  <c:v>5.5266666666666664</c:v>
                </c:pt>
                <c:pt idx="12">
                  <c:v>5.8666666666666671</c:v>
                </c:pt>
                <c:pt idx="13">
                  <c:v>5.8266666666666671</c:v>
                </c:pt>
                <c:pt idx="14">
                  <c:v>5.2666666666666666</c:v>
                </c:pt>
                <c:pt idx="15">
                  <c:v>6.3</c:v>
                </c:pt>
                <c:pt idx="16">
                  <c:v>6.1166666666666663</c:v>
                </c:pt>
                <c:pt idx="17">
                  <c:v>6.0666666666666673</c:v>
                </c:pt>
                <c:pt idx="18">
                  <c:v>5.6000000000000005</c:v>
                </c:pt>
                <c:pt idx="19">
                  <c:v>6.28</c:v>
                </c:pt>
                <c:pt idx="20">
                  <c:v>6.0133333333333328</c:v>
                </c:pt>
                <c:pt idx="21">
                  <c:v>5.7266666666666666</c:v>
                </c:pt>
                <c:pt idx="22">
                  <c:v>6.4900000000000011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C1E-43F1-9E99-27E48C7C3B78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'1239'!$F$18:$F$103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  <c:pt idx="20">
                  <c:v>60</c:v>
                </c:pt>
                <c:pt idx="21">
                  <c:v>65</c:v>
                </c:pt>
                <c:pt idx="22">
                  <c:v>70</c:v>
                </c:pt>
                <c:pt idx="23">
                  <c:v>75</c:v>
                </c:pt>
                <c:pt idx="24">
                  <c:v>80</c:v>
                </c:pt>
                <c:pt idx="25">
                  <c:v>85</c:v>
                </c:pt>
                <c:pt idx="26">
                  <c:v>90</c:v>
                </c:pt>
                <c:pt idx="27">
                  <c:v>95</c:v>
                </c:pt>
                <c:pt idx="28">
                  <c:v>100</c:v>
                </c:pt>
                <c:pt idx="29">
                  <c:v>105</c:v>
                </c:pt>
                <c:pt idx="30">
                  <c:v>110</c:v>
                </c:pt>
                <c:pt idx="31">
                  <c:v>115</c:v>
                </c:pt>
                <c:pt idx="32">
                  <c:v>120</c:v>
                </c:pt>
                <c:pt idx="33">
                  <c:v>125</c:v>
                </c:pt>
                <c:pt idx="34">
                  <c:v>130</c:v>
                </c:pt>
                <c:pt idx="35">
                  <c:v>135</c:v>
                </c:pt>
                <c:pt idx="36">
                  <c:v>140</c:v>
                </c:pt>
                <c:pt idx="37">
                  <c:v>145</c:v>
                </c:pt>
                <c:pt idx="38">
                  <c:v>150</c:v>
                </c:pt>
                <c:pt idx="39">
                  <c:v>155</c:v>
                </c:pt>
                <c:pt idx="40">
                  <c:v>160</c:v>
                </c:pt>
                <c:pt idx="41">
                  <c:v>165</c:v>
                </c:pt>
                <c:pt idx="42">
                  <c:v>170</c:v>
                </c:pt>
                <c:pt idx="43">
                  <c:v>175</c:v>
                </c:pt>
              </c:numCache>
            </c:numRef>
          </c:xVal>
          <c:yVal>
            <c:numRef>
              <c:f>'1239'!$G$18:$G$103</c:f>
              <c:numCache>
                <c:formatCode>0.0</c:formatCode>
                <c:ptCount val="86"/>
                <c:pt idx="0">
                  <c:v>0.41927840498235697</c:v>
                </c:pt>
                <c:pt idx="1">
                  <c:v>0.44451252894880872</c:v>
                </c:pt>
                <c:pt idx="2">
                  <c:v>0.49342428189268256</c:v>
                </c:pt>
                <c:pt idx="3">
                  <c:v>0.57656607793392434</c:v>
                </c:pt>
                <c:pt idx="4">
                  <c:v>0.70306867512601889</c:v>
                </c:pt>
                <c:pt idx="5">
                  <c:v>0.87836787567627783</c:v>
                </c:pt>
                <c:pt idx="6">
                  <c:v>1.1028726773955242</c:v>
                </c:pt>
                <c:pt idx="7">
                  <c:v>1.3719112626274361</c:v>
                </c:pt>
                <c:pt idx="8">
                  <c:v>1.6767624570792672</c:v>
                </c:pt>
                <c:pt idx="9">
                  <c:v>2.0062794780967579</c:v>
                </c:pt>
                <c:pt idx="10">
                  <c:v>2.3485872430029828</c:v>
                </c:pt>
                <c:pt idx="11">
                  <c:v>3.9238492550455364</c:v>
                </c:pt>
                <c:pt idx="12">
                  <c:v>4.9226146825772581</c:v>
                </c:pt>
                <c:pt idx="13">
                  <c:v>5.4237099335905388</c:v>
                </c:pt>
                <c:pt idx="14">
                  <c:v>5.6509748265751902</c:v>
                </c:pt>
                <c:pt idx="15">
                  <c:v>5.7497158484317854</c:v>
                </c:pt>
                <c:pt idx="16">
                  <c:v>5.7918446041090812</c:v>
                </c:pt>
                <c:pt idx="17">
                  <c:v>5.8096821097808471</c:v>
                </c:pt>
                <c:pt idx="18">
                  <c:v>5.817210261526502</c:v>
                </c:pt>
                <c:pt idx="19">
                  <c:v>5.8203831325796758</c:v>
                </c:pt>
                <c:pt idx="20">
                  <c:v>5.8217196294647877</c:v>
                </c:pt>
                <c:pt idx="21">
                  <c:v>5.8222824615275632</c:v>
                </c:pt>
                <c:pt idx="22">
                  <c:v>5.8225194600536128</c:v>
                </c:pt>
                <c:pt idx="23">
                  <c:v>5.8226192516354667</c:v>
                </c:pt>
                <c:pt idx="24">
                  <c:v>5.822661269536801</c:v>
                </c:pt>
                <c:pt idx="25">
                  <c:v>5.8226789613162904</c:v>
                </c:pt>
                <c:pt idx="26">
                  <c:v>5.8226864104761349</c:v>
                </c:pt>
                <c:pt idx="27">
                  <c:v>5.822689546955873</c:v>
                </c:pt>
                <c:pt idx="28">
                  <c:v>5.8226908675745452</c:v>
                </c:pt>
                <c:pt idx="29">
                  <c:v>5.8226914236225378</c:v>
                </c:pt>
                <c:pt idx="30">
                  <c:v>5.8226916577471535</c:v>
                </c:pt>
                <c:pt idx="31">
                  <c:v>5.8226917563255753</c:v>
                </c:pt>
                <c:pt idx="32">
                  <c:v>5.8226917978321246</c:v>
                </c:pt>
                <c:pt idx="33">
                  <c:v>5.8226918153085014</c:v>
                </c:pt>
                <c:pt idx="34">
                  <c:v>5.8226918226669486</c:v>
                </c:pt>
                <c:pt idx="35">
                  <c:v>5.8226918257652303</c:v>
                </c:pt>
                <c:pt idx="36">
                  <c:v>5.8226918270697654</c:v>
                </c:pt>
                <c:pt idx="37">
                  <c:v>5.8226918276190416</c:v>
                </c:pt>
                <c:pt idx="38">
                  <c:v>5.8226918278503152</c:v>
                </c:pt>
                <c:pt idx="39">
                  <c:v>5.8226918279476925</c:v>
                </c:pt>
                <c:pt idx="40">
                  <c:v>5.8226918279886934</c:v>
                </c:pt>
                <c:pt idx="41">
                  <c:v>5.822691828005957</c:v>
                </c:pt>
                <c:pt idx="42">
                  <c:v>5.8226918280132258</c:v>
                </c:pt>
                <c:pt idx="43">
                  <c:v>5.8226918280162865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C1E-43F1-9E99-27E48C7C3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6016"/>
        <c:axId val="-1699333088"/>
      </c:scatterChart>
      <c:valAx>
        <c:axId val="-169932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3088"/>
        <c:crosses val="autoZero"/>
        <c:crossBetween val="midCat"/>
      </c:valAx>
      <c:valAx>
        <c:axId val="-1699333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60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'1255'!$B$18:$B$84</c:f>
              <c:numCache>
                <c:formatCode>0.0</c:formatCode>
                <c:ptCount val="67"/>
                <c:pt idx="0">
                  <c:v>0</c:v>
                </c:pt>
                <c:pt idx="1">
                  <c:v>8.25</c:v>
                </c:pt>
                <c:pt idx="2">
                  <c:v>20.916666666744277</c:v>
                </c:pt>
                <c:pt idx="3">
                  <c:v>23.000000000058208</c:v>
                </c:pt>
                <c:pt idx="4">
                  <c:v>26.666666666802485</c:v>
                </c:pt>
                <c:pt idx="5">
                  <c:v>28.666666666686069</c:v>
                </c:pt>
                <c:pt idx="6">
                  <c:v>47.166666666744277</c:v>
                </c:pt>
                <c:pt idx="7">
                  <c:v>71.25</c:v>
                </c:pt>
                <c:pt idx="8">
                  <c:v>93.500000000058208</c:v>
                </c:pt>
                <c:pt idx="9">
                  <c:v>101.91666666674428</c:v>
                </c:pt>
                <c:pt idx="10">
                  <c:v>118.5</c:v>
                </c:pt>
                <c:pt idx="11">
                  <c:v>125.83333333331393</c:v>
                </c:pt>
                <c:pt idx="12">
                  <c:v>141.50000000005821</c:v>
                </c:pt>
                <c:pt idx="13">
                  <c:v>165.25000000011642</c:v>
                </c:pt>
              </c:numCache>
            </c:numRef>
          </c:xVal>
          <c:yVal>
            <c:numRef>
              <c:f>'1255'!$C$18:$C$84</c:f>
              <c:numCache>
                <c:formatCode>0.000</c:formatCode>
                <c:ptCount val="67"/>
                <c:pt idx="0">
                  <c:v>0.4375</c:v>
                </c:pt>
                <c:pt idx="1">
                  <c:v>1.0116666666666667</c:v>
                </c:pt>
                <c:pt idx="2">
                  <c:v>3.5933333333333337</c:v>
                </c:pt>
                <c:pt idx="3">
                  <c:v>3.48</c:v>
                </c:pt>
                <c:pt idx="4">
                  <c:v>4.1133333333333333</c:v>
                </c:pt>
                <c:pt idx="5">
                  <c:v>3.6799999999999997</c:v>
                </c:pt>
                <c:pt idx="6">
                  <c:v>3.4333333333333336</c:v>
                </c:pt>
                <c:pt idx="7">
                  <c:v>3.7833333333333337</c:v>
                </c:pt>
                <c:pt idx="8">
                  <c:v>4</c:v>
                </c:pt>
                <c:pt idx="9">
                  <c:v>4.1833333333333327</c:v>
                </c:pt>
                <c:pt idx="10">
                  <c:v>4.3500000000000005</c:v>
                </c:pt>
                <c:pt idx="11">
                  <c:v>4.33</c:v>
                </c:pt>
                <c:pt idx="12">
                  <c:v>3.6333333333333333</c:v>
                </c:pt>
                <c:pt idx="13">
                  <c:v>4.1333333333333329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C4-48E3-8209-F27F67288A2B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'1255'!$F$18:$F$103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  <c:pt idx="20">
                  <c:v>60</c:v>
                </c:pt>
                <c:pt idx="21">
                  <c:v>65</c:v>
                </c:pt>
                <c:pt idx="22">
                  <c:v>70</c:v>
                </c:pt>
                <c:pt idx="23">
                  <c:v>75</c:v>
                </c:pt>
                <c:pt idx="24">
                  <c:v>80</c:v>
                </c:pt>
                <c:pt idx="25">
                  <c:v>85</c:v>
                </c:pt>
                <c:pt idx="26">
                  <c:v>90</c:v>
                </c:pt>
                <c:pt idx="27">
                  <c:v>95</c:v>
                </c:pt>
                <c:pt idx="28">
                  <c:v>100</c:v>
                </c:pt>
                <c:pt idx="29">
                  <c:v>105</c:v>
                </c:pt>
                <c:pt idx="30">
                  <c:v>110</c:v>
                </c:pt>
                <c:pt idx="31">
                  <c:v>115</c:v>
                </c:pt>
                <c:pt idx="32">
                  <c:v>120</c:v>
                </c:pt>
                <c:pt idx="33">
                  <c:v>125</c:v>
                </c:pt>
                <c:pt idx="34">
                  <c:v>130</c:v>
                </c:pt>
                <c:pt idx="35">
                  <c:v>135</c:v>
                </c:pt>
                <c:pt idx="36">
                  <c:v>140</c:v>
                </c:pt>
                <c:pt idx="37">
                  <c:v>145</c:v>
                </c:pt>
                <c:pt idx="38">
                  <c:v>150</c:v>
                </c:pt>
                <c:pt idx="39">
                  <c:v>155</c:v>
                </c:pt>
                <c:pt idx="40">
                  <c:v>160</c:v>
                </c:pt>
                <c:pt idx="41">
                  <c:v>165</c:v>
                </c:pt>
                <c:pt idx="42">
                  <c:v>170</c:v>
                </c:pt>
                <c:pt idx="43">
                  <c:v>175</c:v>
                </c:pt>
              </c:numCache>
            </c:numRef>
          </c:xVal>
          <c:yVal>
            <c:numRef>
              <c:f>'1255'!$G$18:$G$103</c:f>
              <c:numCache>
                <c:formatCode>0.0</c:formatCode>
                <c:ptCount val="86"/>
                <c:pt idx="0">
                  <c:v>0.43777080421267772</c:v>
                </c:pt>
                <c:pt idx="1">
                  <c:v>0.43901591776252435</c:v>
                </c:pt>
                <c:pt idx="2">
                  <c:v>0.4437055194804071</c:v>
                </c:pt>
                <c:pt idx="3">
                  <c:v>0.4571634453785024</c:v>
                </c:pt>
                <c:pt idx="4">
                  <c:v>0.48802767156155957</c:v>
                </c:pt>
                <c:pt idx="5">
                  <c:v>0.54687656841115984</c:v>
                </c:pt>
                <c:pt idx="6">
                  <c:v>0.64326757093502751</c:v>
                </c:pt>
                <c:pt idx="7">
                  <c:v>0.78261244866952007</c:v>
                </c:pt>
                <c:pt idx="8">
                  <c:v>0.96441034695255767</c:v>
                </c:pt>
                <c:pt idx="9">
                  <c:v>1.1824379667728839</c:v>
                </c:pt>
                <c:pt idx="10">
                  <c:v>1.4264591173098853</c:v>
                </c:pt>
                <c:pt idx="11">
                  <c:v>2.6558653958965768</c:v>
                </c:pt>
                <c:pt idx="12">
                  <c:v>3.4212578273692045</c:v>
                </c:pt>
                <c:pt idx="13">
                  <c:v>3.764060903251889</c:v>
                </c:pt>
                <c:pt idx="14">
                  <c:v>3.8994845032048233</c:v>
                </c:pt>
                <c:pt idx="15">
                  <c:v>3.9505429356665847</c:v>
                </c:pt>
                <c:pt idx="16">
                  <c:v>3.9694647950787654</c:v>
                </c:pt>
                <c:pt idx="17">
                  <c:v>3.9764328547205423</c:v>
                </c:pt>
                <c:pt idx="18">
                  <c:v>3.9789929190093591</c:v>
                </c:pt>
                <c:pt idx="19">
                  <c:v>3.9799326846714296</c:v>
                </c:pt>
                <c:pt idx="20">
                  <c:v>3.9802775522690617</c:v>
                </c:pt>
                <c:pt idx="21">
                  <c:v>3.980404094461246</c:v>
                </c:pt>
                <c:pt idx="22">
                  <c:v>3.9804505246044046</c:v>
                </c:pt>
                <c:pt idx="23">
                  <c:v>3.9804675602258071</c:v>
                </c:pt>
                <c:pt idx="24">
                  <c:v>3.9804738107073092</c:v>
                </c:pt>
                <c:pt idx="25">
                  <c:v>3.9804761040452981</c:v>
                </c:pt>
                <c:pt idx="26">
                  <c:v>3.9804769454836917</c:v>
                </c:pt>
                <c:pt idx="27">
                  <c:v>3.9804772542120062</c:v>
                </c:pt>
                <c:pt idx="28">
                  <c:v>3.9804773674860896</c:v>
                </c:pt>
                <c:pt idx="29">
                  <c:v>3.9804774090469595</c:v>
                </c:pt>
                <c:pt idx="30">
                  <c:v>3.980477424295866</c:v>
                </c:pt>
                <c:pt idx="31">
                  <c:v>3.9804774298907719</c:v>
                </c:pt>
                <c:pt idx="32">
                  <c:v>3.980477431943573</c:v>
                </c:pt>
                <c:pt idx="33">
                  <c:v>3.9804774326967567</c:v>
                </c:pt>
                <c:pt idx="34">
                  <c:v>3.9804774329731036</c:v>
                </c:pt>
                <c:pt idx="35">
                  <c:v>3.9804774330744968</c:v>
                </c:pt>
                <c:pt idx="36">
                  <c:v>3.9804774331116985</c:v>
                </c:pt>
                <c:pt idx="37">
                  <c:v>3.9804774331253481</c:v>
                </c:pt>
                <c:pt idx="38">
                  <c:v>3.9804774331303561</c:v>
                </c:pt>
                <c:pt idx="39">
                  <c:v>3.9804774331321937</c:v>
                </c:pt>
                <c:pt idx="40">
                  <c:v>3.9804774331328678</c:v>
                </c:pt>
                <c:pt idx="41">
                  <c:v>3.9804774331331156</c:v>
                </c:pt>
                <c:pt idx="42">
                  <c:v>3.9804774331332058</c:v>
                </c:pt>
                <c:pt idx="43">
                  <c:v>3.9804774331332395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C4-48E3-8209-F27F67288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36352"/>
        <c:axId val="-1699333632"/>
      </c:scatterChart>
      <c:valAx>
        <c:axId val="-169933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3632"/>
        <c:crosses val="autoZero"/>
        <c:crossBetween val="midCat"/>
      </c:valAx>
      <c:valAx>
        <c:axId val="-16993336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6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'1257'!$B$18:$B$83</c:f>
              <c:numCache>
                <c:formatCode>0.0</c:formatCode>
                <c:ptCount val="66"/>
                <c:pt idx="0">
                  <c:v>0</c:v>
                </c:pt>
                <c:pt idx="1">
                  <c:v>8.25</c:v>
                </c:pt>
                <c:pt idx="2">
                  <c:v>23.000000000058208</c:v>
                </c:pt>
                <c:pt idx="3">
                  <c:v>26.666666666802485</c:v>
                </c:pt>
                <c:pt idx="4">
                  <c:v>28.666666666686069</c:v>
                </c:pt>
                <c:pt idx="5">
                  <c:v>47.166666666744277</c:v>
                </c:pt>
                <c:pt idx="6">
                  <c:v>71.25</c:v>
                </c:pt>
              </c:numCache>
            </c:numRef>
          </c:xVal>
          <c:yVal>
            <c:numRef>
              <c:f>'1257'!$C$18:$C$83</c:f>
              <c:numCache>
                <c:formatCode>0.000</c:formatCode>
                <c:ptCount val="66"/>
                <c:pt idx="0">
                  <c:v>0.52500000000000002</c:v>
                </c:pt>
                <c:pt idx="1">
                  <c:v>0.7400000000000001</c:v>
                </c:pt>
                <c:pt idx="2">
                  <c:v>2.08</c:v>
                </c:pt>
                <c:pt idx="3">
                  <c:v>2.7133333333333334</c:v>
                </c:pt>
                <c:pt idx="4">
                  <c:v>2.6200000000000006</c:v>
                </c:pt>
                <c:pt idx="5">
                  <c:v>2.6</c:v>
                </c:pt>
                <c:pt idx="6">
                  <c:v>2.85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3B-40B1-926D-BA89F58B7B25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'1257'!$F$18:$F$103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14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24</c:v>
                </c:pt>
                <c:pt idx="18">
                  <c:v>26</c:v>
                </c:pt>
                <c:pt idx="19">
                  <c:v>28</c:v>
                </c:pt>
                <c:pt idx="20">
                  <c:v>30</c:v>
                </c:pt>
                <c:pt idx="21">
                  <c:v>32</c:v>
                </c:pt>
                <c:pt idx="22">
                  <c:v>34</c:v>
                </c:pt>
                <c:pt idx="23">
                  <c:v>36</c:v>
                </c:pt>
                <c:pt idx="24">
                  <c:v>38</c:v>
                </c:pt>
                <c:pt idx="25">
                  <c:v>40</c:v>
                </c:pt>
                <c:pt idx="26">
                  <c:v>42</c:v>
                </c:pt>
                <c:pt idx="27">
                  <c:v>44</c:v>
                </c:pt>
                <c:pt idx="28">
                  <c:v>46</c:v>
                </c:pt>
                <c:pt idx="29">
                  <c:v>48</c:v>
                </c:pt>
                <c:pt idx="30">
                  <c:v>50</c:v>
                </c:pt>
                <c:pt idx="31">
                  <c:v>52</c:v>
                </c:pt>
                <c:pt idx="32">
                  <c:v>54</c:v>
                </c:pt>
                <c:pt idx="33">
                  <c:v>56</c:v>
                </c:pt>
                <c:pt idx="34">
                  <c:v>58</c:v>
                </c:pt>
                <c:pt idx="35">
                  <c:v>60</c:v>
                </c:pt>
                <c:pt idx="36">
                  <c:v>62</c:v>
                </c:pt>
                <c:pt idx="37">
                  <c:v>64</c:v>
                </c:pt>
                <c:pt idx="38">
                  <c:v>66</c:v>
                </c:pt>
                <c:pt idx="39">
                  <c:v>68</c:v>
                </c:pt>
                <c:pt idx="40">
                  <c:v>70</c:v>
                </c:pt>
                <c:pt idx="41">
                  <c:v>72</c:v>
                </c:pt>
                <c:pt idx="42">
                  <c:v>74</c:v>
                </c:pt>
                <c:pt idx="43">
                  <c:v>76</c:v>
                </c:pt>
                <c:pt idx="44">
                  <c:v>78</c:v>
                </c:pt>
                <c:pt idx="45">
                  <c:v>80</c:v>
                </c:pt>
                <c:pt idx="46">
                  <c:v>82</c:v>
                </c:pt>
              </c:numCache>
            </c:numRef>
          </c:xVal>
          <c:yVal>
            <c:numRef>
              <c:f>'1257'!$G$18:$G$103</c:f>
              <c:numCache>
                <c:formatCode>0.0</c:formatCode>
                <c:ptCount val="86"/>
                <c:pt idx="0">
                  <c:v>0.52520098078900701</c:v>
                </c:pt>
                <c:pt idx="1">
                  <c:v>0.52578320089807229</c:v>
                </c:pt>
                <c:pt idx="2">
                  <c:v>0.5275028095019384</c:v>
                </c:pt>
                <c:pt idx="3">
                  <c:v>0.53175128661993853</c:v>
                </c:pt>
                <c:pt idx="4">
                  <c:v>0.54075739224310504</c:v>
                </c:pt>
                <c:pt idx="5">
                  <c:v>0.55750051807292389</c:v>
                </c:pt>
                <c:pt idx="6">
                  <c:v>0.58531648405120884</c:v>
                </c:pt>
                <c:pt idx="7">
                  <c:v>0.62728474252467081</c:v>
                </c:pt>
                <c:pt idx="8">
                  <c:v>0.6855936558828627</c:v>
                </c:pt>
                <c:pt idx="9">
                  <c:v>0.76108521409471264</c:v>
                </c:pt>
                <c:pt idx="10">
                  <c:v>0.85309560492525938</c:v>
                </c:pt>
                <c:pt idx="11">
                  <c:v>1.0775344451458206</c:v>
                </c:pt>
                <c:pt idx="12">
                  <c:v>1.3331640272894885</c:v>
                </c:pt>
                <c:pt idx="13">
                  <c:v>1.5915408902639991</c:v>
                </c:pt>
                <c:pt idx="14">
                  <c:v>1.8307866577476513</c:v>
                </c:pt>
                <c:pt idx="15">
                  <c:v>2.038546656858701</c:v>
                </c:pt>
                <c:pt idx="16">
                  <c:v>2.2106879130870061</c:v>
                </c:pt>
                <c:pt idx="17">
                  <c:v>2.3485031241286225</c:v>
                </c:pt>
                <c:pt idx="18">
                  <c:v>2.4561035820403472</c:v>
                </c:pt>
                <c:pt idx="19">
                  <c:v>2.5385882853572554</c:v>
                </c:pt>
                <c:pt idx="20">
                  <c:v>2.60097934682276</c:v>
                </c:pt>
                <c:pt idx="21">
                  <c:v>2.6477130108339235</c:v>
                </c:pt>
                <c:pt idx="22">
                  <c:v>2.6824699510230303</c:v>
                </c:pt>
                <c:pt idx="23">
                  <c:v>2.7081853938541225</c:v>
                </c:pt>
                <c:pt idx="24">
                  <c:v>2.7271392625350583</c:v>
                </c:pt>
                <c:pt idx="25">
                  <c:v>2.7410707913354009</c:v>
                </c:pt>
                <c:pt idx="26">
                  <c:v>2.7512901105446308</c:v>
                </c:pt>
                <c:pt idx="27">
                  <c:v>2.7587753337000898</c:v>
                </c:pt>
                <c:pt idx="28">
                  <c:v>2.764252050759199</c:v>
                </c:pt>
                <c:pt idx="29">
                  <c:v>2.7682560590607719</c:v>
                </c:pt>
                <c:pt idx="30">
                  <c:v>2.771181699364007</c:v>
                </c:pt>
                <c:pt idx="31">
                  <c:v>2.7733185070872484</c:v>
                </c:pt>
                <c:pt idx="32">
                  <c:v>2.7748786974200801</c:v>
                </c:pt>
                <c:pt idx="33">
                  <c:v>2.7760176172217039</c:v>
                </c:pt>
                <c:pt idx="34">
                  <c:v>2.7768488798321891</c:v>
                </c:pt>
                <c:pt idx="35">
                  <c:v>2.7774555210942253</c:v>
                </c:pt>
                <c:pt idx="36">
                  <c:v>2.7778981993038596</c:v>
                </c:pt>
                <c:pt idx="37">
                  <c:v>2.7782212100596286</c:v>
                </c:pt>
                <c:pt idx="38">
                  <c:v>2.7784568917601176</c:v>
                </c:pt>
                <c:pt idx="39">
                  <c:v>2.7786288488870499</c:v>
                </c:pt>
                <c:pt idx="40">
                  <c:v>2.7787543084799426</c:v>
                </c:pt>
                <c:pt idx="41">
                  <c:v>2.77884584192687</c:v>
                </c:pt>
                <c:pt idx="42">
                  <c:v>2.7789126224944667</c:v>
                </c:pt>
                <c:pt idx="43">
                  <c:v>2.7789613435030005</c:v>
                </c:pt>
                <c:pt idx="44">
                  <c:v>2.7789968885770988</c:v>
                </c:pt>
                <c:pt idx="45">
                  <c:v>2.7790228208380126</c:v>
                </c:pt>
                <c:pt idx="46">
                  <c:v>2.7790417399060661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3B-40B1-926D-BA89F58B7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32544"/>
        <c:axId val="-1699322208"/>
      </c:scatterChart>
      <c:valAx>
        <c:axId val="-169933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2208"/>
        <c:crosses val="autoZero"/>
        <c:crossBetween val="midCat"/>
      </c:valAx>
      <c:valAx>
        <c:axId val="-1699322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25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'1257 (2)'!$B$18:$B$84</c:f>
              <c:numCache>
                <c:formatCode>0.0</c:formatCode>
                <c:ptCount val="67"/>
                <c:pt idx="0">
                  <c:v>26.666666666802485</c:v>
                </c:pt>
                <c:pt idx="1">
                  <c:v>28.666666666686069</c:v>
                </c:pt>
                <c:pt idx="2">
                  <c:v>47.166666666744277</c:v>
                </c:pt>
                <c:pt idx="3">
                  <c:v>71.25</c:v>
                </c:pt>
                <c:pt idx="4">
                  <c:v>93.500000000058208</c:v>
                </c:pt>
                <c:pt idx="5">
                  <c:v>101.91666666674428</c:v>
                </c:pt>
                <c:pt idx="6">
                  <c:v>118.5</c:v>
                </c:pt>
                <c:pt idx="7">
                  <c:v>125.83333333331393</c:v>
                </c:pt>
                <c:pt idx="8">
                  <c:v>165.25000000011642</c:v>
                </c:pt>
              </c:numCache>
            </c:numRef>
          </c:xVal>
          <c:yVal>
            <c:numRef>
              <c:f>'1257 (2)'!$C$18:$C$84</c:f>
              <c:numCache>
                <c:formatCode>0.000</c:formatCode>
                <c:ptCount val="67"/>
                <c:pt idx="0">
                  <c:v>2.7133333333333334</c:v>
                </c:pt>
                <c:pt idx="1">
                  <c:v>2.6200000000000006</c:v>
                </c:pt>
                <c:pt idx="2">
                  <c:v>2.6</c:v>
                </c:pt>
                <c:pt idx="3">
                  <c:v>2.85</c:v>
                </c:pt>
                <c:pt idx="4">
                  <c:v>3.2416666666666671</c:v>
                </c:pt>
                <c:pt idx="5">
                  <c:v>3.7333333333333329</c:v>
                </c:pt>
                <c:pt idx="6">
                  <c:v>4.083333333333333</c:v>
                </c:pt>
                <c:pt idx="7">
                  <c:v>4.6333333333333329</c:v>
                </c:pt>
                <c:pt idx="8">
                  <c:v>4.58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'1257 (2)'!$F$18:$F$103</c:f>
              <c:numCache>
                <c:formatCode>0.0</c:formatCode>
                <c:ptCount val="86"/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</c:numCache>
            </c:numRef>
          </c:xVal>
          <c:yVal>
            <c:numRef>
              <c:f>'1257 (2)'!$G$18:$G$103</c:f>
              <c:numCache>
                <c:formatCode>0.0</c:formatCode>
                <c:ptCount val="86"/>
                <c:pt idx="13">
                  <c:v>2.6</c:v>
                </c:pt>
                <c:pt idx="14">
                  <c:v>2.7133333333333334</c:v>
                </c:pt>
                <c:pt idx="15">
                  <c:v>2.7133333333333334</c:v>
                </c:pt>
                <c:pt idx="16">
                  <c:v>2.7133333333333334</c:v>
                </c:pt>
                <c:pt idx="17">
                  <c:v>2.7133333333333334</c:v>
                </c:pt>
                <c:pt idx="18">
                  <c:v>2.7133333333333334</c:v>
                </c:pt>
                <c:pt idx="19">
                  <c:v>2.7133333333333334</c:v>
                </c:pt>
                <c:pt idx="20">
                  <c:v>2.7133333333333334</c:v>
                </c:pt>
                <c:pt idx="21">
                  <c:v>2.7133333333333334</c:v>
                </c:pt>
                <c:pt idx="22">
                  <c:v>2.7133333333333334</c:v>
                </c:pt>
                <c:pt idx="23">
                  <c:v>2.7133333333333334</c:v>
                </c:pt>
                <c:pt idx="24">
                  <c:v>2.7133333333333436</c:v>
                </c:pt>
                <c:pt idx="25">
                  <c:v>2.7133333333341478</c:v>
                </c:pt>
                <c:pt idx="26">
                  <c:v>2.7133333333701679</c:v>
                </c:pt>
                <c:pt idx="27">
                  <c:v>2.7133333343336496</c:v>
                </c:pt>
                <c:pt idx="28">
                  <c:v>2.7133333507999406</c:v>
                </c:pt>
                <c:pt idx="29">
                  <c:v>2.7133335413650004</c:v>
                </c:pt>
                <c:pt idx="30">
                  <c:v>2.7133351121274143</c:v>
                </c:pt>
                <c:pt idx="31">
                  <c:v>2.7133447476486618</c:v>
                </c:pt>
                <c:pt idx="32">
                  <c:v>2.7133904521565744</c:v>
                </c:pt>
                <c:pt idx="33">
                  <c:v>2.7135637745554453</c:v>
                </c:pt>
                <c:pt idx="34">
                  <c:v>2.7141047810339511</c:v>
                </c:pt>
                <c:pt idx="35">
                  <c:v>2.7155304752609992</c:v>
                </c:pt>
                <c:pt idx="36">
                  <c:v>2.7187734084935498</c:v>
                </c:pt>
                <c:pt idx="37">
                  <c:v>2.7252644376987663</c:v>
                </c:pt>
                <c:pt idx="38">
                  <c:v>2.7368909358187326</c:v>
                </c:pt>
                <c:pt idx="39">
                  <c:v>2.7558011052396139</c:v>
                </c:pt>
                <c:pt idx="40">
                  <c:v>2.7840875984431168</c:v>
                </c:pt>
                <c:pt idx="41">
                  <c:v>2.8234340489873402</c:v>
                </c:pt>
                <c:pt idx="42">
                  <c:v>2.8748208763834269</c:v>
                </c:pt>
                <c:pt idx="43">
                  <c:v>2.9383608450619381</c:v>
                </c:pt>
                <c:pt idx="44">
                  <c:v>3.0132886594360229</c:v>
                </c:pt>
                <c:pt idx="45">
                  <c:v>3.0980848895167705</c:v>
                </c:pt>
                <c:pt idx="46">
                  <c:v>3.1906873685493324</c:v>
                </c:pt>
                <c:pt idx="47">
                  <c:v>3.2887361651829541</c:v>
                </c:pt>
                <c:pt idx="48">
                  <c:v>3.3898064472624494</c:v>
                </c:pt>
                <c:pt idx="49">
                  <c:v>3.4915992436118639</c:v>
                </c:pt>
                <c:pt idx="50">
                  <c:v>3.5920765148083276</c:v>
                </c:pt>
                <c:pt idx="51">
                  <c:v>3.6895399991666133</c:v>
                </c:pt>
                <c:pt idx="52">
                  <c:v>3.7826615735907745</c:v>
                </c:pt>
                <c:pt idx="53">
                  <c:v>3.8704766990123005</c:v>
                </c:pt>
                <c:pt idx="54">
                  <c:v>3.9523530719653803</c:v>
                </c:pt>
                <c:pt idx="55">
                  <c:v>4.0279451842539515</c:v>
                </c:pt>
                <c:pt idx="56">
                  <c:v>4.0971431849690934</c:v>
                </c:pt>
                <c:pt idx="57">
                  <c:v>4.1600219837776109</c:v>
                </c:pt>
                <c:pt idx="58">
                  <c:v>4.2167943512702015</c:v>
                </c:pt>
                <c:pt idx="59">
                  <c:v>4.2677700407153507</c:v>
                </c:pt>
                <c:pt idx="60">
                  <c:v>4.3133217024157906</c:v>
                </c:pt>
                <c:pt idx="61">
                  <c:v>4.3538575320778197</c:v>
                </c:pt>
                <c:pt idx="62">
                  <c:v>4.3898001008063758</c:v>
                </c:pt>
                <c:pt idx="63">
                  <c:v>4.4215705659316509</c:v>
                </c:pt>
                <c:pt idx="64">
                  <c:v>4.4495773796594582</c:v>
                </c:pt>
                <c:pt idx="65">
                  <c:v>4.4742086340206324</c:v>
                </c:pt>
                <c:pt idx="66">
                  <c:v>4.4958272600543658</c:v>
                </c:pt>
                <c:pt idx="67">
                  <c:v>4.5147684052863708</c:v>
                </c:pt>
                <c:pt idx="68">
                  <c:v>4.5313384263085768</c:v>
                </c:pt>
                <c:pt idx="69">
                  <c:v>4.5458150408049169</c:v>
                </c:pt>
                <c:pt idx="70">
                  <c:v>4.5584482795252201</c:v>
                </c:pt>
                <c:pt idx="71">
                  <c:v>4.5694619609889031</c:v>
                </c:pt>
                <c:pt idx="72">
                  <c:v>4.5790554798422356</c:v>
                </c:pt>
                <c:pt idx="73">
                  <c:v>4.5874057547843829</c:v>
                </c:pt>
                <c:pt idx="74">
                  <c:v>4.5946692254032513</c:v>
                </c:pt>
                <c:pt idx="75">
                  <c:v>4.6009838209018188</c:v>
                </c:pt>
                <c:pt idx="76">
                  <c:v>4.6064708492898827</c:v>
                </c:pt>
                <c:pt idx="77">
                  <c:v>4.6112367747443201</c:v>
                </c:pt>
                <c:pt idx="78">
                  <c:v>4.615374864869584</c:v>
                </c:pt>
                <c:pt idx="79">
                  <c:v>4.6189666996621304</c:v>
                </c:pt>
                <c:pt idx="80">
                  <c:v>4.6220835410305785</c:v>
                </c:pt>
                <c:pt idx="81">
                  <c:v>4.6247875664932634</c:v>
                </c:pt>
                <c:pt idx="82">
                  <c:v>4.6271329737534863</c:v>
                </c:pt>
                <c:pt idx="83">
                  <c:v>4.6291669646953135</c:v>
                </c:pt>
                <c:pt idx="84">
                  <c:v>4.6309306182980023</c:v>
                </c:pt>
                <c:pt idx="85">
                  <c:v>4.6324596622989631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8736"/>
        <c:axId val="-1699332000"/>
      </c:scatterChart>
      <c:valAx>
        <c:axId val="-1699328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32000"/>
        <c:crosses val="autoZero"/>
        <c:crossBetween val="midCat"/>
      </c:valAx>
      <c:valAx>
        <c:axId val="-16993320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87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'1257 (4)'!$B$18:$B$84</c:f>
              <c:numCache>
                <c:formatCode>0.0</c:formatCode>
                <c:ptCount val="67"/>
                <c:pt idx="0">
                  <c:v>0</c:v>
                </c:pt>
                <c:pt idx="1">
                  <c:v>1.9999999998835847</c:v>
                </c:pt>
                <c:pt idx="2">
                  <c:v>20.499999999941792</c:v>
                </c:pt>
                <c:pt idx="3">
                  <c:v>44.583333333197515</c:v>
                </c:pt>
                <c:pt idx="4">
                  <c:v>66.833333333255723</c:v>
                </c:pt>
                <c:pt idx="5">
                  <c:v>75.249999999941792</c:v>
                </c:pt>
                <c:pt idx="6">
                  <c:v>91.833333333197515</c:v>
                </c:pt>
                <c:pt idx="7">
                  <c:v>99.166666666511446</c:v>
                </c:pt>
                <c:pt idx="8">
                  <c:v>138.58333333331393</c:v>
                </c:pt>
              </c:numCache>
            </c:numRef>
          </c:xVal>
          <c:yVal>
            <c:numRef>
              <c:f>'1257 (4)'!$C$18:$C$84</c:f>
              <c:numCache>
                <c:formatCode>0.000</c:formatCode>
                <c:ptCount val="67"/>
                <c:pt idx="0">
                  <c:v>2.7133333333333334</c:v>
                </c:pt>
                <c:pt idx="1">
                  <c:v>2.6200000000000006</c:v>
                </c:pt>
                <c:pt idx="2">
                  <c:v>2.6</c:v>
                </c:pt>
                <c:pt idx="3">
                  <c:v>2.85</c:v>
                </c:pt>
                <c:pt idx="4">
                  <c:v>3.2416666666666671</c:v>
                </c:pt>
                <c:pt idx="5">
                  <c:v>3.7333333333333329</c:v>
                </c:pt>
                <c:pt idx="6">
                  <c:v>4.083333333333333</c:v>
                </c:pt>
                <c:pt idx="7">
                  <c:v>4.6333333333333329</c:v>
                </c:pt>
                <c:pt idx="8">
                  <c:v>4.58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'1257 (4)'!$F$18:$F$103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20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</c:numCache>
            </c:numRef>
          </c:xVal>
          <c:yVal>
            <c:numRef>
              <c:f>'1257 (4)'!$G$18:$G$103</c:f>
              <c:numCache>
                <c:formatCode>0.0</c:formatCode>
                <c:ptCount val="86"/>
                <c:pt idx="0">
                  <c:v>2.7133333333333334</c:v>
                </c:pt>
                <c:pt idx="1">
                  <c:v>2.7133333333333334</c:v>
                </c:pt>
                <c:pt idx="2">
                  <c:v>2.7133333333333334</c:v>
                </c:pt>
                <c:pt idx="3">
                  <c:v>2.7133333333333334</c:v>
                </c:pt>
                <c:pt idx="4">
                  <c:v>2.7133333333333334</c:v>
                </c:pt>
                <c:pt idx="5">
                  <c:v>2.7133333333333334</c:v>
                </c:pt>
                <c:pt idx="6">
                  <c:v>2.7133333333333334</c:v>
                </c:pt>
                <c:pt idx="7">
                  <c:v>2.7133333333333334</c:v>
                </c:pt>
                <c:pt idx="8">
                  <c:v>2.7133333333333334</c:v>
                </c:pt>
                <c:pt idx="9">
                  <c:v>2.7133333333333334</c:v>
                </c:pt>
                <c:pt idx="10">
                  <c:v>2.7133333333333334</c:v>
                </c:pt>
                <c:pt idx="11">
                  <c:v>2.7133333333333334</c:v>
                </c:pt>
                <c:pt idx="12">
                  <c:v>2.7133333333333338</c:v>
                </c:pt>
                <c:pt idx="13">
                  <c:v>2.7133333334500391</c:v>
                </c:pt>
                <c:pt idx="14">
                  <c:v>2.7133333360496916</c:v>
                </c:pt>
                <c:pt idx="15">
                  <c:v>2.7133333748318749</c:v>
                </c:pt>
                <c:pt idx="16">
                  <c:v>2.7133337735726335</c:v>
                </c:pt>
                <c:pt idx="17">
                  <c:v>2.7133367385345246</c:v>
                </c:pt>
                <c:pt idx="18">
                  <c:v>2.7133533664375586</c:v>
                </c:pt>
                <c:pt idx="19">
                  <c:v>2.7134263163420456</c:v>
                </c:pt>
                <c:pt idx="20">
                  <c:v>2.7136847970110023</c:v>
                </c:pt>
                <c:pt idx="21">
                  <c:v>2.7144453421244354</c:v>
                </c:pt>
                <c:pt idx="22">
                  <c:v>2.7163492582108852</c:v>
                </c:pt>
                <c:pt idx="23">
                  <c:v>2.7204909531952435</c:v>
                </c:pt>
                <c:pt idx="24">
                  <c:v>2.7284656848104119</c:v>
                </c:pt>
                <c:pt idx="25">
                  <c:v>2.7422767986099985</c:v>
                </c:pt>
                <c:pt idx="26">
                  <c:v>2.7640930393523004</c:v>
                </c:pt>
                <c:pt idx="27">
                  <c:v>2.795908981752655</c:v>
                </c:pt>
                <c:pt idx="28">
                  <c:v>2.8392012037569172</c:v>
                </c:pt>
                <c:pt idx="29">
                  <c:v>2.8946715965010847</c:v>
                </c:pt>
                <c:pt idx="30">
                  <c:v>2.9621339762439129</c:v>
                </c:pt>
                <c:pt idx="31">
                  <c:v>3.0405524160041586</c:v>
                </c:pt>
                <c:pt idx="32">
                  <c:v>3.1282002836634253</c:v>
                </c:pt>
                <c:pt idx="33">
                  <c:v>3.2228886665239207</c:v>
                </c:pt>
                <c:pt idx="34">
                  <c:v>3.3222116968311735</c:v>
                </c:pt>
                <c:pt idx="35">
                  <c:v>3.423767873365319</c:v>
                </c:pt>
                <c:pt idx="36">
                  <c:v>3.5253330349380603</c:v>
                </c:pt>
                <c:pt idx="37">
                  <c:v>3.6249762394299379</c:v>
                </c:pt>
                <c:pt idx="38">
                  <c:v>3.7211213146068696</c:v>
                </c:pt>
                <c:pt idx="39">
                  <c:v>3.8125635432013896</c:v>
                </c:pt>
                <c:pt idx="40">
                  <c:v>3.8984535345596738</c:v>
                </c:pt>
                <c:pt idx="41">
                  <c:v>3.9782600907284316</c:v>
                </c:pt>
                <c:pt idx="42">
                  <c:v>4.0517220548786135</c:v>
                </c:pt>
                <c:pt idx="43">
                  <c:v>4.1187967077250223</c:v>
                </c:pt>
                <c:pt idx="44">
                  <c:v>4.1796098799604362</c:v>
                </c:pt>
                <c:pt idx="45">
                  <c:v>4.2344109053867358</c:v>
                </c:pt>
                <c:pt idx="46">
                  <c:v>4.2835339697096151</c:v>
                </c:pt>
                <c:pt idx="47">
                  <c:v>4.3273663064366659</c:v>
                </c:pt>
                <c:pt idx="48">
                  <c:v>4.3663229838456408</c:v>
                </c:pt>
                <c:pt idx="49">
                  <c:v>4.4008276247033971</c:v>
                </c:pt>
                <c:pt idx="50">
                  <c:v>4.4312982154474012</c:v>
                </c:pt>
                <c:pt idx="51">
                  <c:v>4.4581371199978408</c:v>
                </c:pt>
                <c:pt idx="52">
                  <c:v>4.481724458500552</c:v>
                </c:pt>
                <c:pt idx="53">
                  <c:v>4.5024141025187134</c:v>
                </c:pt>
                <c:pt idx="54">
                  <c:v>4.5205316482959885</c:v>
                </c:pt>
                <c:pt idx="55">
                  <c:v>4.5363738417180581</c:v>
                </c:pt>
                <c:pt idx="56">
                  <c:v>4.5502090328173654</c:v>
                </c:pt>
                <c:pt idx="57">
                  <c:v>4.5622783293423055</c:v>
                </c:pt>
                <c:pt idx="58">
                  <c:v>4.5727971964312939</c:v>
                </c:pt>
                <c:pt idx="59">
                  <c:v>4.5819573130414826</c:v>
                </c:pt>
                <c:pt idx="60">
                  <c:v>4.5899285467260729</c:v>
                </c:pt>
                <c:pt idx="61">
                  <c:v>4.5968609483183283</c:v>
                </c:pt>
                <c:pt idx="62">
                  <c:v>4.6028866988506776</c:v>
                </c:pt>
                <c:pt idx="63">
                  <c:v>4.6081219643100653</c:v>
                </c:pt>
                <c:pt idx="64">
                  <c:v>4.6126686311178053</c:v>
                </c:pt>
                <c:pt idx="65">
                  <c:v>4.6166159078151638</c:v>
                </c:pt>
                <c:pt idx="66">
                  <c:v>4.6200417874056292</c:v>
                </c:pt>
                <c:pt idx="67">
                  <c:v>4.6230143710186145</c:v>
                </c:pt>
                <c:pt idx="68">
                  <c:v>4.6255930577069817</c:v>
                </c:pt>
                <c:pt idx="69">
                  <c:v>4.6278296078121972</c:v>
                </c:pt>
                <c:pt idx="70">
                  <c:v>4.6297690888433518</c:v>
                </c:pt>
                <c:pt idx="71">
                  <c:v>4.6314507135377552</c:v>
                </c:pt>
                <c:pt idx="72">
                  <c:v>4.6329085799414003</c:v>
                </c:pt>
                <c:pt idx="73">
                  <c:v>4.6341723231458598</c:v>
                </c:pt>
                <c:pt idx="74">
                  <c:v>4.6352676878757642</c:v>
                </c:pt>
                <c:pt idx="75">
                  <c:v>4.6362170305331993</c:v>
                </c:pt>
                <c:pt idx="76">
                  <c:v>4.6370397586403946</c:v>
                </c:pt>
                <c:pt idx="77">
                  <c:v>4.6377527149275544</c:v>
                </c:pt>
                <c:pt idx="78">
                  <c:v>4.6383705126211723</c:v>
                </c:pt>
                <c:pt idx="79">
                  <c:v>4.6389058278209738</c:v>
                </c:pt>
                <c:pt idx="80">
                  <c:v>4.6393696542242386</c:v>
                </c:pt>
                <c:pt idx="81">
                  <c:v>4.6397715248719518</c:v>
                </c:pt>
                <c:pt idx="82">
                  <c:v>4.6401197050557972</c:v>
                </c:pt>
                <c:pt idx="83">
                  <c:v>4.640421360038907</c:v>
                </c:pt>
                <c:pt idx="84">
                  <c:v>4.6406827008055327</c:v>
                </c:pt>
                <c:pt idx="85">
                  <c:v>4.6409091106629594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3296"/>
        <c:axId val="-1699328192"/>
      </c:scatterChart>
      <c:valAx>
        <c:axId val="-169932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8192"/>
        <c:crosses val="autoZero"/>
        <c:crossBetween val="midCat"/>
      </c:valAx>
      <c:valAx>
        <c:axId val="-1699328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32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'1257 (3)'!$B$18:$B$84</c:f>
              <c:numCache>
                <c:formatCode>0.0</c:formatCode>
                <c:ptCount val="67"/>
                <c:pt idx="0">
                  <c:v>0</c:v>
                </c:pt>
                <c:pt idx="1">
                  <c:v>8.25</c:v>
                </c:pt>
                <c:pt idx="3">
                  <c:v>23.000000000058208</c:v>
                </c:pt>
                <c:pt idx="4">
                  <c:v>26.666666666802485</c:v>
                </c:pt>
                <c:pt idx="5">
                  <c:v>28.666666666686069</c:v>
                </c:pt>
                <c:pt idx="6">
                  <c:v>47.166666666744277</c:v>
                </c:pt>
                <c:pt idx="7">
                  <c:v>71.25</c:v>
                </c:pt>
                <c:pt idx="8">
                  <c:v>93.500000000058208</c:v>
                </c:pt>
                <c:pt idx="9">
                  <c:v>101.91666666674428</c:v>
                </c:pt>
                <c:pt idx="10">
                  <c:v>118.5</c:v>
                </c:pt>
                <c:pt idx="11">
                  <c:v>125.83333333331393</c:v>
                </c:pt>
                <c:pt idx="12">
                  <c:v>165.25000000011642</c:v>
                </c:pt>
              </c:numCache>
            </c:numRef>
          </c:xVal>
          <c:yVal>
            <c:numRef>
              <c:f>'1257 (3)'!$C$18:$C$84</c:f>
              <c:numCache>
                <c:formatCode>0.000</c:formatCode>
                <c:ptCount val="67"/>
                <c:pt idx="0">
                  <c:v>0.52500000000000002</c:v>
                </c:pt>
                <c:pt idx="1">
                  <c:v>0.7400000000000001</c:v>
                </c:pt>
                <c:pt idx="3">
                  <c:v>2.08</c:v>
                </c:pt>
                <c:pt idx="4">
                  <c:v>2.7133333333333334</c:v>
                </c:pt>
                <c:pt idx="5">
                  <c:v>2.6200000000000006</c:v>
                </c:pt>
                <c:pt idx="6">
                  <c:v>2.6</c:v>
                </c:pt>
                <c:pt idx="7">
                  <c:v>2.85</c:v>
                </c:pt>
                <c:pt idx="8">
                  <c:v>3.2416666666666671</c:v>
                </c:pt>
                <c:pt idx="9">
                  <c:v>3.7333333333333329</c:v>
                </c:pt>
                <c:pt idx="10">
                  <c:v>4.083333333333333</c:v>
                </c:pt>
                <c:pt idx="11">
                  <c:v>4.6333333333333329</c:v>
                </c:pt>
                <c:pt idx="12">
                  <c:v>4.58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81-4A09-BB1B-1F5567EA29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'1257 (3)'!$F$18:$F$109</c:f>
              <c:numCache>
                <c:formatCode>0.0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14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24</c:v>
                </c:pt>
                <c:pt idx="18">
                  <c:v>26</c:v>
                </c:pt>
                <c:pt idx="19">
                  <c:v>28</c:v>
                </c:pt>
                <c:pt idx="20">
                  <c:v>30</c:v>
                </c:pt>
                <c:pt idx="21">
                  <c:v>32</c:v>
                </c:pt>
                <c:pt idx="22">
                  <c:v>34</c:v>
                </c:pt>
                <c:pt idx="23">
                  <c:v>36</c:v>
                </c:pt>
                <c:pt idx="24">
                  <c:v>38</c:v>
                </c:pt>
                <c:pt idx="25">
                  <c:v>40</c:v>
                </c:pt>
                <c:pt idx="26">
                  <c:v>42</c:v>
                </c:pt>
                <c:pt idx="27">
                  <c:v>44</c:v>
                </c:pt>
                <c:pt idx="28">
                  <c:v>46</c:v>
                </c:pt>
                <c:pt idx="29">
                  <c:v>48</c:v>
                </c:pt>
                <c:pt idx="30">
                  <c:v>50</c:v>
                </c:pt>
                <c:pt idx="31">
                  <c:v>52</c:v>
                </c:pt>
                <c:pt idx="32">
                  <c:v>54</c:v>
                </c:pt>
                <c:pt idx="33">
                  <c:v>56</c:v>
                </c:pt>
                <c:pt idx="34">
                  <c:v>58</c:v>
                </c:pt>
                <c:pt idx="35">
                  <c:v>60</c:v>
                </c:pt>
                <c:pt idx="36">
                  <c:v>62</c:v>
                </c:pt>
                <c:pt idx="37">
                  <c:v>64</c:v>
                </c:pt>
                <c:pt idx="38">
                  <c:v>66</c:v>
                </c:pt>
                <c:pt idx="39">
                  <c:v>68</c:v>
                </c:pt>
                <c:pt idx="40">
                  <c:v>70</c:v>
                </c:pt>
                <c:pt idx="41">
                  <c:v>72</c:v>
                </c:pt>
                <c:pt idx="42">
                  <c:v>74</c:v>
                </c:pt>
                <c:pt idx="43">
                  <c:v>76</c:v>
                </c:pt>
                <c:pt idx="44">
                  <c:v>78</c:v>
                </c:pt>
                <c:pt idx="45">
                  <c:v>80</c:v>
                </c:pt>
                <c:pt idx="46">
                  <c:v>82</c:v>
                </c:pt>
                <c:pt idx="47">
                  <c:v>82</c:v>
                </c:pt>
                <c:pt idx="48">
                  <c:v>84</c:v>
                </c:pt>
                <c:pt idx="49">
                  <c:v>86</c:v>
                </c:pt>
                <c:pt idx="50">
                  <c:v>88</c:v>
                </c:pt>
                <c:pt idx="51">
                  <c:v>90</c:v>
                </c:pt>
                <c:pt idx="52">
                  <c:v>92</c:v>
                </c:pt>
                <c:pt idx="53">
                  <c:v>94</c:v>
                </c:pt>
                <c:pt idx="54">
                  <c:v>96</c:v>
                </c:pt>
                <c:pt idx="55">
                  <c:v>98</c:v>
                </c:pt>
                <c:pt idx="56">
                  <c:v>100</c:v>
                </c:pt>
                <c:pt idx="57">
                  <c:v>102</c:v>
                </c:pt>
                <c:pt idx="58">
                  <c:v>104</c:v>
                </c:pt>
                <c:pt idx="59">
                  <c:v>106</c:v>
                </c:pt>
                <c:pt idx="60">
                  <c:v>108</c:v>
                </c:pt>
                <c:pt idx="61">
                  <c:v>110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118</c:v>
                </c:pt>
                <c:pt idx="66">
                  <c:v>120</c:v>
                </c:pt>
                <c:pt idx="67">
                  <c:v>122</c:v>
                </c:pt>
                <c:pt idx="68">
                  <c:v>124</c:v>
                </c:pt>
                <c:pt idx="69">
                  <c:v>126</c:v>
                </c:pt>
                <c:pt idx="70">
                  <c:v>128</c:v>
                </c:pt>
                <c:pt idx="71">
                  <c:v>130</c:v>
                </c:pt>
                <c:pt idx="72">
                  <c:v>132</c:v>
                </c:pt>
                <c:pt idx="73">
                  <c:v>134</c:v>
                </c:pt>
                <c:pt idx="74">
                  <c:v>136</c:v>
                </c:pt>
                <c:pt idx="75">
                  <c:v>138</c:v>
                </c:pt>
                <c:pt idx="76">
                  <c:v>140</c:v>
                </c:pt>
                <c:pt idx="77">
                  <c:v>142</c:v>
                </c:pt>
                <c:pt idx="78">
                  <c:v>144</c:v>
                </c:pt>
                <c:pt idx="79">
                  <c:v>146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168</c:v>
                </c:pt>
                <c:pt idx="91">
                  <c:v>170</c:v>
                </c:pt>
              </c:numCache>
            </c:numRef>
          </c:xVal>
          <c:yVal>
            <c:numRef>
              <c:f>'1257 (3)'!$G$18:$G$109</c:f>
              <c:numCache>
                <c:formatCode>0.0</c:formatCode>
                <c:ptCount val="92"/>
                <c:pt idx="0">
                  <c:v>0.52520098078900701</c:v>
                </c:pt>
                <c:pt idx="1">
                  <c:v>0.52578320089807229</c:v>
                </c:pt>
                <c:pt idx="2">
                  <c:v>0.5275028095019384</c:v>
                </c:pt>
                <c:pt idx="3">
                  <c:v>0.53175128661993853</c:v>
                </c:pt>
                <c:pt idx="4">
                  <c:v>0.54075739224310504</c:v>
                </c:pt>
                <c:pt idx="5">
                  <c:v>0.55750051807292389</c:v>
                </c:pt>
                <c:pt idx="6">
                  <c:v>0.58531648405120884</c:v>
                </c:pt>
                <c:pt idx="7">
                  <c:v>0.62728474252467081</c:v>
                </c:pt>
                <c:pt idx="8">
                  <c:v>0.6855936558828627</c:v>
                </c:pt>
                <c:pt idx="9">
                  <c:v>0.76108521409471264</c:v>
                </c:pt>
                <c:pt idx="10">
                  <c:v>0.85309560492525938</c:v>
                </c:pt>
                <c:pt idx="11">
                  <c:v>1.0775344451458206</c:v>
                </c:pt>
                <c:pt idx="12">
                  <c:v>1.3331640272894885</c:v>
                </c:pt>
                <c:pt idx="13">
                  <c:v>1.5915408902639991</c:v>
                </c:pt>
                <c:pt idx="14">
                  <c:v>1.8307866577476513</c:v>
                </c:pt>
                <c:pt idx="15">
                  <c:v>2.038546656858701</c:v>
                </c:pt>
                <c:pt idx="16">
                  <c:v>2.2106879130870061</c:v>
                </c:pt>
                <c:pt idx="17">
                  <c:v>2.3485031241286225</c:v>
                </c:pt>
                <c:pt idx="18">
                  <c:v>2.4561035820403472</c:v>
                </c:pt>
                <c:pt idx="19">
                  <c:v>2.5385882853572554</c:v>
                </c:pt>
                <c:pt idx="20">
                  <c:v>2.60097934682276</c:v>
                </c:pt>
                <c:pt idx="21">
                  <c:v>2.6477130108339235</c:v>
                </c:pt>
                <c:pt idx="22">
                  <c:v>2.6824699510230303</c:v>
                </c:pt>
                <c:pt idx="23">
                  <c:v>2.7081853938541225</c:v>
                </c:pt>
                <c:pt idx="24">
                  <c:v>2.7271392625350583</c:v>
                </c:pt>
                <c:pt idx="25">
                  <c:v>2.7410707913354009</c:v>
                </c:pt>
                <c:pt idx="26">
                  <c:v>2.7512901105446308</c:v>
                </c:pt>
                <c:pt idx="27">
                  <c:v>2.7587753337000898</c:v>
                </c:pt>
                <c:pt idx="28">
                  <c:v>2.764252050759199</c:v>
                </c:pt>
                <c:pt idx="29">
                  <c:v>2.7682560590607719</c:v>
                </c:pt>
                <c:pt idx="30">
                  <c:v>2.771181699364007</c:v>
                </c:pt>
                <c:pt idx="31">
                  <c:v>2.7733185070872484</c:v>
                </c:pt>
                <c:pt idx="32">
                  <c:v>2.7748786974200801</c:v>
                </c:pt>
                <c:pt idx="33">
                  <c:v>2.7760176172217039</c:v>
                </c:pt>
                <c:pt idx="34">
                  <c:v>2.7768488798321891</c:v>
                </c:pt>
                <c:pt idx="35">
                  <c:v>2.7774555210942253</c:v>
                </c:pt>
                <c:pt idx="36">
                  <c:v>2.7778981993038596</c:v>
                </c:pt>
                <c:pt idx="37">
                  <c:v>2.7782212100596286</c:v>
                </c:pt>
                <c:pt idx="38">
                  <c:v>2.7784568917601176</c:v>
                </c:pt>
                <c:pt idx="39">
                  <c:v>2.7786288488870499</c:v>
                </c:pt>
                <c:pt idx="40">
                  <c:v>2.7787543084799426</c:v>
                </c:pt>
                <c:pt idx="41">
                  <c:v>2.77884584192687</c:v>
                </c:pt>
                <c:pt idx="42">
                  <c:v>2.7789126224944667</c:v>
                </c:pt>
                <c:pt idx="43">
                  <c:v>2.7789613435030005</c:v>
                </c:pt>
                <c:pt idx="44">
                  <c:v>2.7789968885770988</c:v>
                </c:pt>
                <c:pt idx="45">
                  <c:v>2.7790228208380126</c:v>
                </c:pt>
                <c:pt idx="46">
                  <c:v>2.7790417399060661</c:v>
                </c:pt>
                <c:pt idx="47" formatCode="0.00">
                  <c:v>2.823394021578332</c:v>
                </c:pt>
                <c:pt idx="48" formatCode="0.00">
                  <c:v>2.8747755698936688</c:v>
                </c:pt>
                <c:pt idx="49" formatCode="0.00">
                  <c:v>2.9383127840903458</c:v>
                </c:pt>
                <c:pt idx="50" formatCode="0.00">
                  <c:v>3.0132407214131591</c:v>
                </c:pt>
                <c:pt idx="51" formatCode="0.00">
                  <c:v>3.0980398976990897</c:v>
                </c:pt>
                <c:pt idx="52" formatCode="0.00">
                  <c:v>3.1906477529151029</c:v>
                </c:pt>
                <c:pt idx="53" formatCode="0.00">
                  <c:v>3.2887037393609706</c:v>
                </c:pt>
                <c:pt idx="54" formatCode="0.00">
                  <c:v>3.389782311502068</c:v>
                </c:pt>
                <c:pt idx="55" formatCode="0.00">
                  <c:v>3.4915837962974594</c:v>
                </c:pt>
                <c:pt idx="56" formatCode="0.00">
                  <c:v>3.592069541083478</c:v>
                </c:pt>
                <c:pt idx="57" formatCode="0.00">
                  <c:v>3.6895408027402778</c:v>
                </c:pt>
                <c:pt idx="58" formatCode="0.00">
                  <c:v>3.7826691225915736</c:v>
                </c:pt>
                <c:pt idx="59" formatCode="0.00">
                  <c:v>3.8704897647892134</c:v>
                </c:pt>
                <c:pt idx="60" formatCode="0.00">
                  <c:v>3.9523703480723098</c:v>
                </c:pt>
                <c:pt idx="61" formatCode="0.00">
                  <c:v>4.027965379858145</c:v>
                </c:pt>
                <c:pt idx="62" formatCode="0.00">
                  <c:v>4.097165091975449</c:v>
                </c:pt>
                <c:pt idx="63" formatCode="0.00">
                  <c:v>4.1600445201002412</c:v>
                </c:pt>
                <c:pt idx="64" formatCode="0.00">
                  <c:v>4.2168165842670122</c:v>
                </c:pt>
                <c:pt idx="65" formatCode="0.00">
                  <c:v>4.2677911952803207</c:v>
                </c:pt>
                <c:pt idx="66" formatCode="0.00">
                  <c:v>4.3133411580112355</c:v>
                </c:pt>
                <c:pt idx="67" formatCode="0.00">
                  <c:v>4.3538748124097468</c:v>
                </c:pt>
                <c:pt idx="68" formatCode="0.00">
                  <c:v>4.3898148591264947</c:v>
                </c:pt>
                <c:pt idx="69" formatCode="0.00">
                  <c:v>4.4215825682307397</c:v>
                </c:pt>
                <c:pt idx="70" formatCode="0.00">
                  <c:v>4.4495864873753366</c:v>
                </c:pt>
                <c:pt idx="71" formatCode="0.00">
                  <c:v>4.474214787352512</c:v>
                </c:pt>
                <c:pt idx="72" formatCode="0.00">
                  <c:v>4.4958304625593941</c:v>
                </c:pt>
                <c:pt idx="73" formatCode="0.00">
                  <c:v>4.5147687101241152</c:v>
                </c:pt>
                <c:pt idx="74" formatCode="0.00">
                  <c:v>4.5313359242788378</c:v>
                </c:pt>
                <c:pt idx="75" formatCode="0.00">
                  <c:v>4.5458098501755568</c:v>
                </c:pt>
                <c:pt idx="76" formatCode="0.00">
                  <c:v>4.5584405375527135</c:v>
                </c:pt>
                <c:pt idx="77" formatCode="0.00">
                  <c:v>4.5694518169805267</c:v>
                </c:pt>
                <c:pt idx="78" formatCode="0.00">
                  <c:v>4.5790430895832372</c:v>
                </c:pt>
                <c:pt idx="79" formatCode="0.00">
                  <c:v>4.5873912761470459</c:v>
                </c:pt>
                <c:pt idx="80" formatCode="0.00">
                  <c:v>4.5946528149605079</c:v>
                </c:pt>
                <c:pt idx="81" formatCode="0.00">
                  <c:v>4.6009656313810421</c:v>
                </c:pt>
                <c:pt idx="82" formatCode="0.00">
                  <c:v>4.6064510277192019</c:v>
                </c:pt>
                <c:pt idx="83" formatCode="0.00">
                  <c:v>4.6112154611619136</c:v>
                </c:pt>
                <c:pt idx="84" formatCode="0.00">
                  <c:v>4.6153521914843942</c:v>
                </c:pt>
                <c:pt idx="85" formatCode="0.00">
                  <c:v>4.6189427903714186</c:v>
                </c:pt>
                <c:pt idx="86" formatCode="0.00">
                  <c:v>4.6220585112151644</c:v>
                </c:pt>
                <c:pt idx="87" formatCode="0.00">
                  <c:v>4.6247615230250041</c:v>
                </c:pt>
                <c:pt idx="88" formatCode="0.00">
                  <c:v>4.6271060151614396</c:v>
                </c:pt>
                <c:pt idx="89" formatCode="0.00">
                  <c:v>4.6291391814472362</c:v>
                </c:pt>
                <c:pt idx="90" formatCode="0.00">
                  <c:v>4.6309020931624545</c:v>
                </c:pt>
                <c:pt idx="91" formatCode="0.00">
                  <c:v>4.632430470760494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81-4A09-BB1B-1F5567EA2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9321664"/>
        <c:axId val="-1559783760"/>
      </c:scatterChart>
      <c:valAx>
        <c:axId val="-169932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83760"/>
        <c:crosses val="autoZero"/>
        <c:crossBetween val="midCat"/>
      </c:valAx>
      <c:valAx>
        <c:axId val="-1559783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99321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'183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'183 (Opt)'!$C$18:$C$84</c:f>
              <c:numCache>
                <c:formatCode>0.000</c:formatCode>
                <c:ptCount val="67"/>
                <c:pt idx="0">
                  <c:v>0.05</c:v>
                </c:pt>
                <c:pt idx="1">
                  <c:v>0.498</c:v>
                </c:pt>
                <c:pt idx="2">
                  <c:v>0.89</c:v>
                </c:pt>
                <c:pt idx="3">
                  <c:v>1.54</c:v>
                </c:pt>
                <c:pt idx="4">
                  <c:v>2.3199999999999998</c:v>
                </c:pt>
                <c:pt idx="5">
                  <c:v>2.62</c:v>
                </c:pt>
                <c:pt idx="6">
                  <c:v>2.89</c:v>
                </c:pt>
                <c:pt idx="7">
                  <c:v>3.44</c:v>
                </c:pt>
                <c:pt idx="8">
                  <c:v>3.44</c:v>
                </c:pt>
                <c:pt idx="9">
                  <c:v>4</c:v>
                </c:pt>
                <c:pt idx="10">
                  <c:v>3.96</c:v>
                </c:pt>
                <c:pt idx="11">
                  <c:v>4.0999999999999996</c:v>
                </c:pt>
                <c:pt idx="12">
                  <c:v>4.72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'183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'183 (Opt)'!$G$18:$G$103</c:f>
              <c:numCache>
                <c:formatCode>0.0</c:formatCode>
                <c:ptCount val="86"/>
                <c:pt idx="0">
                  <c:v>5.0000000000036814E-2</c:v>
                </c:pt>
                <c:pt idx="1">
                  <c:v>5.0000000181224503E-2</c:v>
                </c:pt>
                <c:pt idx="2">
                  <c:v>5.0000096027191847E-2</c:v>
                </c:pt>
                <c:pt idx="3">
                  <c:v>5.0009825099686739E-2</c:v>
                </c:pt>
                <c:pt idx="4">
                  <c:v>5.0298748483756449E-2</c:v>
                </c:pt>
                <c:pt idx="5">
                  <c:v>5.3710773036703643E-2</c:v>
                </c:pt>
                <c:pt idx="6">
                  <c:v>7.3809629027082907E-2</c:v>
                </c:pt>
                <c:pt idx="7">
                  <c:v>0.14383895037149547</c:v>
                </c:pt>
                <c:pt idx="8">
                  <c:v>0.30813631783828149</c:v>
                </c:pt>
                <c:pt idx="9">
                  <c:v>0.5946209167868699</c:v>
                </c:pt>
                <c:pt idx="10">
                  <c:v>0.9947736070485943</c:v>
                </c:pt>
                <c:pt idx="11">
                  <c:v>1.4685286386796716</c:v>
                </c:pt>
                <c:pt idx="12">
                  <c:v>1.9645660172007551</c:v>
                </c:pt>
                <c:pt idx="13">
                  <c:v>2.4386792061694873</c:v>
                </c:pt>
                <c:pt idx="14">
                  <c:v>2.862242395670441</c:v>
                </c:pt>
                <c:pt idx="15">
                  <c:v>3.2221972800805778</c:v>
                </c:pt>
                <c:pt idx="16">
                  <c:v>3.5169970672145188</c:v>
                </c:pt>
                <c:pt idx="17">
                  <c:v>3.7519302702534838</c:v>
                </c:pt>
                <c:pt idx="18">
                  <c:v>3.9354147032753577</c:v>
                </c:pt>
                <c:pt idx="19">
                  <c:v>4.0765979816713402</c:v>
                </c:pt>
                <c:pt idx="20">
                  <c:v>4.1840439006871204</c:v>
                </c:pt>
                <c:pt idx="21">
                  <c:v>4.2651530900373329</c:v>
                </c:pt>
                <c:pt idx="22">
                  <c:v>4.3260152473093685</c:v>
                </c:pt>
                <c:pt idx="23">
                  <c:v>4.3714830210419082</c:v>
                </c:pt>
                <c:pt idx="24">
                  <c:v>4.4053395528634764</c:v>
                </c:pt>
                <c:pt idx="25">
                  <c:v>4.4304893907523271</c:v>
                </c:pt>
                <c:pt idx="26">
                  <c:v>4.4491384115596002</c:v>
                </c:pt>
                <c:pt idx="27">
                  <c:v>4.462948845603413</c:v>
                </c:pt>
                <c:pt idx="28">
                  <c:v>4.4731661980849218</c:v>
                </c:pt>
                <c:pt idx="29">
                  <c:v>4.4807198913628765</c:v>
                </c:pt>
                <c:pt idx="30">
                  <c:v>4.486301399064299</c:v>
                </c:pt>
                <c:pt idx="31">
                  <c:v>4.4904240342289619</c:v>
                </c:pt>
                <c:pt idx="32">
                  <c:v>4.4934682380549722</c:v>
                </c:pt>
                <c:pt idx="33">
                  <c:v>4.495715639494712</c:v>
                </c:pt>
                <c:pt idx="34">
                  <c:v>4.4973745378571053</c:v>
                </c:pt>
                <c:pt idx="35">
                  <c:v>4.4985988971310036</c:v>
                </c:pt>
                <c:pt idx="36">
                  <c:v>4.4995024655867359</c:v>
                </c:pt>
                <c:pt idx="37">
                  <c:v>4.5001692508812603</c:v>
                </c:pt>
                <c:pt idx="38">
                  <c:v>4.5006612800753913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76144"/>
        <c:axId val="-1559782128"/>
      </c:scatterChart>
      <c:valAx>
        <c:axId val="-155977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82128"/>
        <c:crosses val="autoZero"/>
        <c:crossBetween val="midCat"/>
      </c:valAx>
      <c:valAx>
        <c:axId val="-1559782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61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'1309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'1309 (Opt)'!$C$18:$C$84</c:f>
              <c:numCache>
                <c:formatCode>0.000</c:formatCode>
                <c:ptCount val="67"/>
                <c:pt idx="0">
                  <c:v>6.6000000000000003E-2</c:v>
                </c:pt>
                <c:pt idx="1">
                  <c:v>0.17399999999999999</c:v>
                </c:pt>
                <c:pt idx="2">
                  <c:v>0.18</c:v>
                </c:pt>
                <c:pt idx="3">
                  <c:v>0.185</c:v>
                </c:pt>
                <c:pt idx="4">
                  <c:v>0.2</c:v>
                </c:pt>
                <c:pt idx="5">
                  <c:v>0.27500000000000002</c:v>
                </c:pt>
                <c:pt idx="6">
                  <c:v>0.32500000000000001</c:v>
                </c:pt>
                <c:pt idx="7">
                  <c:v>0.31</c:v>
                </c:pt>
                <c:pt idx="8">
                  <c:v>0.47</c:v>
                </c:pt>
                <c:pt idx="9">
                  <c:v>0.45</c:v>
                </c:pt>
                <c:pt idx="10">
                  <c:v>0.72</c:v>
                </c:pt>
                <c:pt idx="11">
                  <c:v>0.96599999999999997</c:v>
                </c:pt>
                <c:pt idx="12">
                  <c:v>4.9400000000000004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'1309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'1309 (Opt)'!$G$18:$G$103</c:f>
              <c:numCache>
                <c:formatCode>0.0</c:formatCode>
                <c:ptCount val="86"/>
                <c:pt idx="0">
                  <c:v>6.6000000800822162E-2</c:v>
                </c:pt>
                <c:pt idx="1">
                  <c:v>6.6000009839531748E-2</c:v>
                </c:pt>
                <c:pt idx="2">
                  <c:v>6.6000091985610701E-2</c:v>
                </c:pt>
                <c:pt idx="3">
                  <c:v>6.6000674068307966E-2</c:v>
                </c:pt>
                <c:pt idx="4">
                  <c:v>6.6003976024409883E-2</c:v>
                </c:pt>
                <c:pt idx="5">
                  <c:v>6.6019329583599642E-2</c:v>
                </c:pt>
                <c:pt idx="6">
                  <c:v>6.6079099344223333E-2</c:v>
                </c:pt>
                <c:pt idx="7">
                  <c:v>6.6277620844822527E-2</c:v>
                </c:pt>
                <c:pt idx="8">
                  <c:v>6.6849813848084153E-2</c:v>
                </c:pt>
                <c:pt idx="9">
                  <c:v>6.8302822397825314E-2</c:v>
                </c:pt>
                <c:pt idx="10">
                  <c:v>7.1597952431163528E-2</c:v>
                </c:pt>
                <c:pt idx="11">
                  <c:v>7.8352900964122424E-2</c:v>
                </c:pt>
                <c:pt idx="12">
                  <c:v>9.1006834367411082E-2</c:v>
                </c:pt>
                <c:pt idx="13">
                  <c:v>0.11287902882896855</c:v>
                </c:pt>
                <c:pt idx="14">
                  <c:v>0.14806618194196525</c:v>
                </c:pt>
                <c:pt idx="15">
                  <c:v>0.20116215115272174</c:v>
                </c:pt>
                <c:pt idx="16">
                  <c:v>0.27683260474945615</c:v>
                </c:pt>
                <c:pt idx="17">
                  <c:v>0.37931727992941405</c:v>
                </c:pt>
                <c:pt idx="18">
                  <c:v>0.51195051633357092</c:v>
                </c:pt>
                <c:pt idx="19">
                  <c:v>0.6767829518069739</c:v>
                </c:pt>
                <c:pt idx="20">
                  <c:v>0.87435983113859228</c:v>
                </c:pt>
                <c:pt idx="21">
                  <c:v>1.1036754571513712</c:v>
                </c:pt>
                <c:pt idx="22">
                  <c:v>1.3622898976401712</c:v>
                </c:pt>
                <c:pt idx="23">
                  <c:v>1.646570462170776</c:v>
                </c:pt>
                <c:pt idx="24">
                  <c:v>1.9520092852546729</c:v>
                </c:pt>
                <c:pt idx="25">
                  <c:v>2.2735683653100924</c:v>
                </c:pt>
                <c:pt idx="26">
                  <c:v>2.6060112404193725</c:v>
                </c:pt>
                <c:pt idx="27">
                  <c:v>2.9441922517884462</c:v>
                </c:pt>
                <c:pt idx="28">
                  <c:v>3.2832867646865167</c:v>
                </c:pt>
                <c:pt idx="29">
                  <c:v>3.6189565759913358</c:v>
                </c:pt>
                <c:pt idx="30">
                  <c:v>3.9474529329260979</c:v>
                </c:pt>
                <c:pt idx="31">
                  <c:v>4.2656648840179603</c:v>
                </c:pt>
                <c:pt idx="32">
                  <c:v>4.5711233984692674</c:v>
                </c:pt>
                <c:pt idx="33">
                  <c:v>4.8619724074656698</c:v>
                </c:pt>
                <c:pt idx="34">
                  <c:v>5.1369172803167009</c:v>
                </c:pt>
                <c:pt idx="35">
                  <c:v>5.395159820779285</c:v>
                </c:pt>
                <c:pt idx="36">
                  <c:v>5.6363271000154107</c:v>
                </c:pt>
                <c:pt idx="37">
                  <c:v>5.8603996421772138</c:v>
                </c:pt>
                <c:pt idx="38">
                  <c:v>6.0676428363410535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81040"/>
        <c:axId val="-1559775056"/>
      </c:scatterChart>
      <c:valAx>
        <c:axId val="-155978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5056"/>
        <c:crosses val="autoZero"/>
        <c:crossBetween val="midCat"/>
      </c:valAx>
      <c:valAx>
        <c:axId val="-15597750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81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'1303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'1303 (Opt)'!$C$18:$C$84</c:f>
              <c:numCache>
                <c:formatCode>0.000</c:formatCode>
                <c:ptCount val="67"/>
                <c:pt idx="0">
                  <c:v>7.3999999999999996E-2</c:v>
                </c:pt>
                <c:pt idx="1">
                  <c:v>0.222</c:v>
                </c:pt>
                <c:pt idx="2">
                  <c:v>0.245</c:v>
                </c:pt>
                <c:pt idx="3">
                  <c:v>0.35</c:v>
                </c:pt>
                <c:pt idx="4">
                  <c:v>0.43</c:v>
                </c:pt>
                <c:pt idx="5">
                  <c:v>0.54</c:v>
                </c:pt>
                <c:pt idx="6">
                  <c:v>0.69</c:v>
                </c:pt>
                <c:pt idx="7">
                  <c:v>0.83</c:v>
                </c:pt>
                <c:pt idx="8">
                  <c:v>1.1000000000000001</c:v>
                </c:pt>
                <c:pt idx="9">
                  <c:v>1.3</c:v>
                </c:pt>
                <c:pt idx="10">
                  <c:v>1.84</c:v>
                </c:pt>
                <c:pt idx="11">
                  <c:v>2.39</c:v>
                </c:pt>
                <c:pt idx="12">
                  <c:v>4.32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'1303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'1303 (Opt)'!$G$18:$G$103</c:f>
              <c:numCache>
                <c:formatCode>0.0</c:formatCode>
                <c:ptCount val="86"/>
                <c:pt idx="0">
                  <c:v>7.4003840153660183E-2</c:v>
                </c:pt>
                <c:pt idx="1">
                  <c:v>7.4022380055368028E-2</c:v>
                </c:pt>
                <c:pt idx="2">
                  <c:v>7.4104618673191791E-2</c:v>
                </c:pt>
                <c:pt idx="3">
                  <c:v>7.4403248495530483E-2</c:v>
                </c:pt>
                <c:pt idx="4">
                  <c:v>7.5312904447094542E-2</c:v>
                </c:pt>
                <c:pt idx="5">
                  <c:v>7.7687741070060934E-2</c:v>
                </c:pt>
                <c:pt idx="6">
                  <c:v>8.3102854693452202E-2</c:v>
                </c:pt>
                <c:pt idx="7">
                  <c:v>9.4067994944159447E-2</c:v>
                </c:pt>
                <c:pt idx="8">
                  <c:v>0.11407566408545508</c:v>
                </c:pt>
                <c:pt idx="9">
                  <c:v>0.14739741763160807</c:v>
                </c:pt>
                <c:pt idx="10">
                  <c:v>0.19862493073077914</c:v>
                </c:pt>
                <c:pt idx="11">
                  <c:v>0.27204592200165312</c:v>
                </c:pt>
                <c:pt idx="12">
                  <c:v>0.37100375102471184</c:v>
                </c:pt>
                <c:pt idx="13">
                  <c:v>0.49739050864579981</c:v>
                </c:pt>
                <c:pt idx="14">
                  <c:v>0.65137467479679623</c:v>
                </c:pt>
                <c:pt idx="15">
                  <c:v>0.83139335713550089</c:v>
                </c:pt>
                <c:pt idx="16">
                  <c:v>1.0343746068589854</c:v>
                </c:pt>
                <c:pt idx="17">
                  <c:v>1.2561151591341386</c:v>
                </c:pt>
                <c:pt idx="18">
                  <c:v>1.49172704742413</c:v>
                </c:pt>
                <c:pt idx="19">
                  <c:v>1.7360767728375095</c:v>
                </c:pt>
                <c:pt idx="20">
                  <c:v>1.9841629796771958</c:v>
                </c:pt>
                <c:pt idx="21">
                  <c:v>2.2314035832597088</c:v>
                </c:pt>
                <c:pt idx="22">
                  <c:v>2.473824800649826</c:v>
                </c:pt>
                <c:pt idx="23">
                  <c:v>2.7081597149183594</c:v>
                </c:pt>
                <c:pt idx="24">
                  <c:v>2.9318725836205393</c:v>
                </c:pt>
                <c:pt idx="25">
                  <c:v>3.1431282551107609</c:v>
                </c:pt>
                <c:pt idx="26">
                  <c:v>3.3407254713991255</c:v>
                </c:pt>
                <c:pt idx="27">
                  <c:v>3.5240101267392552</c:v>
                </c:pt>
                <c:pt idx="28">
                  <c:v>3.692780974138631</c:v>
                </c:pt>
                <c:pt idx="29">
                  <c:v>3.8471966644666526</c:v>
                </c:pt>
                <c:pt idx="30">
                  <c:v>3.9876898342797569</c:v>
                </c:pt>
                <c:pt idx="31">
                  <c:v>4.114891427252819</c:v>
                </c:pt>
                <c:pt idx="32">
                  <c:v>4.2295665646226723</c:v>
                </c:pt>
                <c:pt idx="33">
                  <c:v>4.3325620012964432</c:v>
                </c:pt>
                <c:pt idx="34">
                  <c:v>4.4247644047964743</c:v>
                </c:pt>
                <c:pt idx="35">
                  <c:v>4.5070682561111823</c:v>
                </c:pt>
                <c:pt idx="36">
                  <c:v>4.5803519886374673</c:v>
                </c:pt>
                <c:pt idx="37">
                  <c:v>4.645460966899166</c:v>
                </c:pt>
                <c:pt idx="38">
                  <c:v>4.7031959943696817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81584"/>
        <c:axId val="-1559779408"/>
      </c:scatterChart>
      <c:valAx>
        <c:axId val="-155978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9408"/>
        <c:crosses val="autoZero"/>
        <c:crossBetween val="midCat"/>
      </c:valAx>
      <c:valAx>
        <c:axId val="-15597794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815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'1290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'1290 (Opt)'!$C$18:$C$84</c:f>
              <c:numCache>
                <c:formatCode>0.000</c:formatCode>
                <c:ptCount val="67"/>
                <c:pt idx="0">
                  <c:v>7.1999999999999995E-2</c:v>
                </c:pt>
                <c:pt idx="1">
                  <c:v>0.16</c:v>
                </c:pt>
                <c:pt idx="2">
                  <c:v>0.185</c:v>
                </c:pt>
                <c:pt idx="3">
                  <c:v>0.22500000000000001</c:v>
                </c:pt>
                <c:pt idx="4">
                  <c:v>0.27500000000000002</c:v>
                </c:pt>
                <c:pt idx="5">
                  <c:v>0.30499999999999999</c:v>
                </c:pt>
                <c:pt idx="6">
                  <c:v>0.4</c:v>
                </c:pt>
                <c:pt idx="7">
                  <c:v>0.41</c:v>
                </c:pt>
                <c:pt idx="8">
                  <c:v>0.54</c:v>
                </c:pt>
                <c:pt idx="9">
                  <c:v>0.66</c:v>
                </c:pt>
                <c:pt idx="10">
                  <c:v>0.91500000000000004</c:v>
                </c:pt>
                <c:pt idx="11">
                  <c:v>1.2350000000000001</c:v>
                </c:pt>
                <c:pt idx="12">
                  <c:v>4.54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'1290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'1290 (Opt)'!$G$18:$G$103</c:f>
              <c:numCache>
                <c:formatCode>0.0</c:formatCode>
                <c:ptCount val="86"/>
                <c:pt idx="0">
                  <c:v>7.2008178917820659E-2</c:v>
                </c:pt>
                <c:pt idx="1">
                  <c:v>7.2028588163928722E-2</c:v>
                </c:pt>
                <c:pt idx="2">
                  <c:v>7.2089200529840677E-2</c:v>
                </c:pt>
                <c:pt idx="3">
                  <c:v>7.2251022722284064E-2</c:v>
                </c:pt>
                <c:pt idx="4">
                  <c:v>7.2643118293190034E-2</c:v>
                </c:pt>
                <c:pt idx="5">
                  <c:v>7.3512863187114974E-2</c:v>
                </c:pt>
                <c:pt idx="6">
                  <c:v>7.5293082215736828E-2</c:v>
                </c:pt>
                <c:pt idx="7">
                  <c:v>7.867971065321093E-2</c:v>
                </c:pt>
                <c:pt idx="8">
                  <c:v>8.4707071460896274E-2</c:v>
                </c:pt>
                <c:pt idx="9">
                  <c:v>9.4803124120161356E-2</c:v>
                </c:pt>
                <c:pt idx="10">
                  <c:v>0.11080638724233435</c:v>
                </c:pt>
                <c:pt idx="11">
                  <c:v>0.13493067780936818</c:v>
                </c:pt>
                <c:pt idx="12">
                  <c:v>0.16967257562739602</c:v>
                </c:pt>
                <c:pt idx="13">
                  <c:v>0.21766733027010621</c:v>
                </c:pt>
                <c:pt idx="14">
                  <c:v>0.28150887597305468</c:v>
                </c:pt>
                <c:pt idx="15">
                  <c:v>0.36355622670122212</c:v>
                </c:pt>
                <c:pt idx="16">
                  <c:v>0.46575047197521996</c:v>
                </c:pt>
                <c:pt idx="17">
                  <c:v>0.58946394330837715</c:v>
                </c:pt>
                <c:pt idx="18">
                  <c:v>0.73539703442428872</c:v>
                </c:pt>
                <c:pt idx="19">
                  <c:v>0.90353036250809893</c:v>
                </c:pt>
                <c:pt idx="20">
                  <c:v>1.0931321828018343</c:v>
                </c:pt>
                <c:pt idx="21">
                  <c:v>1.3028145438042285</c:v>
                </c:pt>
                <c:pt idx="22">
                  <c:v>1.530627339280952</c:v>
                </c:pt>
                <c:pt idx="23">
                  <c:v>1.774177348733107</c:v>
                </c:pt>
                <c:pt idx="24">
                  <c:v>2.0307592988611787</c:v>
                </c:pt>
                <c:pt idx="25">
                  <c:v>2.2974874147172253</c:v>
                </c:pt>
                <c:pt idx="26">
                  <c:v>2.5714182724315302</c:v>
                </c:pt>
                <c:pt idx="27">
                  <c:v>2.8496584746385745</c:v>
                </c:pt>
                <c:pt idx="28">
                  <c:v>3.1294533222868148</c:v>
                </c:pt>
                <c:pt idx="29">
                  <c:v>3.4082549719199888</c:v>
                </c:pt>
                <c:pt idx="30">
                  <c:v>3.6837703986725665</c:v>
                </c:pt>
                <c:pt idx="31">
                  <c:v>3.9539907915801598</c:v>
                </c:pt>
                <c:pt idx="32">
                  <c:v>4.2172048225255523</c:v>
                </c:pt>
                <c:pt idx="33">
                  <c:v>4.4719986291690343</c:v>
                </c:pt>
                <c:pt idx="34">
                  <c:v>4.717245429410859</c:v>
                </c:pt>
                <c:pt idx="35">
                  <c:v>4.9520875345392721</c:v>
                </c:pt>
                <c:pt idx="36">
                  <c:v>5.175913234138541</c:v>
                </c:pt>
                <c:pt idx="37">
                  <c:v>5.3883306564398801</c:v>
                </c:pt>
                <c:pt idx="38">
                  <c:v>5.589140314617759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73968"/>
        <c:axId val="-1559774512"/>
      </c:scatterChart>
      <c:valAx>
        <c:axId val="-155977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4512"/>
        <c:crosses val="autoZero"/>
        <c:crossBetween val="midCat"/>
      </c:valAx>
      <c:valAx>
        <c:axId val="-15597745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39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'1255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'1255 (Opt)'!$C$18:$C$84</c:f>
              <c:numCache>
                <c:formatCode>0.000</c:formatCode>
                <c:ptCount val="67"/>
                <c:pt idx="0">
                  <c:v>7.8E-2</c:v>
                </c:pt>
                <c:pt idx="1">
                  <c:v>0.158</c:v>
                </c:pt>
                <c:pt idx="2">
                  <c:v>0.185</c:v>
                </c:pt>
                <c:pt idx="3">
                  <c:v>0.22500000000000001</c:v>
                </c:pt>
                <c:pt idx="4">
                  <c:v>0.26500000000000001</c:v>
                </c:pt>
                <c:pt idx="5">
                  <c:v>0.35</c:v>
                </c:pt>
                <c:pt idx="6">
                  <c:v>0.46500000000000002</c:v>
                </c:pt>
                <c:pt idx="7">
                  <c:v>0.52</c:v>
                </c:pt>
                <c:pt idx="8">
                  <c:v>0.65</c:v>
                </c:pt>
                <c:pt idx="9">
                  <c:v>0.69</c:v>
                </c:pt>
                <c:pt idx="10">
                  <c:v>0.96</c:v>
                </c:pt>
                <c:pt idx="11">
                  <c:v>1.415</c:v>
                </c:pt>
                <c:pt idx="12">
                  <c:v>4.16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'1255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50</c:v>
                </c:pt>
                <c:pt idx="40">
                  <c:v>60</c:v>
                </c:pt>
                <c:pt idx="41">
                  <c:v>70</c:v>
                </c:pt>
                <c:pt idx="42">
                  <c:v>80</c:v>
                </c:pt>
              </c:numCache>
            </c:numRef>
          </c:xVal>
          <c:yVal>
            <c:numRef>
              <c:f>'1255 (Opt)'!$G$18:$G$103</c:f>
              <c:numCache>
                <c:formatCode>0.0</c:formatCode>
                <c:ptCount val="86"/>
                <c:pt idx="0">
                  <c:v>7.820759294443852E-2</c:v>
                </c:pt>
                <c:pt idx="1">
                  <c:v>7.8481965877635687E-2</c:v>
                </c:pt>
                <c:pt idx="2">
                  <c:v>7.904626276579188E-2</c:v>
                </c:pt>
                <c:pt idx="3">
                  <c:v>8.0135077161058846E-2</c:v>
                </c:pt>
                <c:pt idx="4">
                  <c:v>8.21160116564741E-2</c:v>
                </c:pt>
                <c:pt idx="5">
                  <c:v>8.5530102181100603E-2</c:v>
                </c:pt>
                <c:pt idx="6">
                  <c:v>9.1128049544112355E-2</c:v>
                </c:pt>
                <c:pt idx="7">
                  <c:v>9.9894938883732798E-2</c:v>
                </c:pt>
                <c:pt idx="8">
                  <c:v>0.11305641057481786</c:v>
                </c:pt>
                <c:pt idx="9">
                  <c:v>0.13206109025311241</c:v>
                </c:pt>
                <c:pt idx="10">
                  <c:v>0.15853719753875201</c:v>
                </c:pt>
                <c:pt idx="11">
                  <c:v>0.19422499829054507</c:v>
                </c:pt>
                <c:pt idx="12">
                  <c:v>0.24089036190021507</c:v>
                </c:pt>
                <c:pt idx="13">
                  <c:v>0.30022742446125295</c:v>
                </c:pt>
                <c:pt idx="14">
                  <c:v>0.37375977648411562</c:v>
                </c:pt>
                <c:pt idx="15">
                  <c:v>0.46274954904787513</c:v>
                </c:pt>
                <c:pt idx="16">
                  <c:v>0.56812242785217448</c:v>
                </c:pt>
                <c:pt idx="17">
                  <c:v>0.69041435840094922</c:v>
                </c:pt>
                <c:pt idx="18">
                  <c:v>0.82974299106741789</c:v>
                </c:pt>
                <c:pt idx="19">
                  <c:v>0.98580420965940685</c:v>
                </c:pt>
                <c:pt idx="20">
                  <c:v>1.1578917530640915</c:v>
                </c:pt>
                <c:pt idx="21">
                  <c:v>1.3449362030682883</c:v>
                </c:pt>
                <c:pt idx="22">
                  <c:v>1.5455585609822253</c:v>
                </c:pt>
                <c:pt idx="23">
                  <c:v>1.7581332446795801</c:v>
                </c:pt>
                <c:pt idx="24">
                  <c:v>1.9808555004299</c:v>
                </c:pt>
                <c:pt idx="25">
                  <c:v>2.2118087934889088</c:v>
                </c:pt>
                <c:pt idx="26">
                  <c:v>2.4490285619491758</c:v>
                </c:pt>
                <c:pt idx="27">
                  <c:v>2.6905596482668677</c:v>
                </c:pt>
                <c:pt idx="28">
                  <c:v>2.9345056484189693</c:v>
                </c:pt>
                <c:pt idx="29">
                  <c:v>3.1790692590151508</c:v>
                </c:pt>
                <c:pt idx="30">
                  <c:v>3.4225834090607248</c:v>
                </c:pt>
                <c:pt idx="31">
                  <c:v>3.6635335138382863</c:v>
                </c:pt>
                <c:pt idx="32">
                  <c:v>3.9005715827190515</c:v>
                </c:pt>
                <c:pt idx="33">
                  <c:v>4.1325231639211424</c:v>
                </c:pt>
                <c:pt idx="34">
                  <c:v>4.3583882387767776</c:v>
                </c:pt>
                <c:pt idx="35">
                  <c:v>4.5773372108746839</c:v>
                </c:pt>
                <c:pt idx="36">
                  <c:v>4.7887030964469535</c:v>
                </c:pt>
                <c:pt idx="37">
                  <c:v>4.9919709343136054</c:v>
                </c:pt>
                <c:pt idx="38">
                  <c:v>5.1867653159177687</c:v>
                </c:pt>
                <c:pt idx="39">
                  <c:v>6.8584823987421677</c:v>
                </c:pt>
                <c:pt idx="40">
                  <c:v>7.5220480044477496</c:v>
                </c:pt>
                <c:pt idx="41">
                  <c:v>7.8309605112761709</c:v>
                </c:pt>
                <c:pt idx="42">
                  <c:v>7.9694642241015226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82672"/>
        <c:axId val="-1559778864"/>
      </c:scatterChart>
      <c:valAx>
        <c:axId val="-155978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8864"/>
        <c:crosses val="autoZero"/>
        <c:crossBetween val="midCat"/>
      </c:valAx>
      <c:valAx>
        <c:axId val="-15597788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OD600nm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826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'1257 (Opt)'!$B$18:$B$84</c:f>
              <c:numCache>
                <c:formatCode>0.0</c:formatCode>
                <c:ptCount val="67"/>
                <c:pt idx="0">
                  <c:v>0</c:v>
                </c:pt>
                <c:pt idx="1">
                  <c:v>8.8699999999999992</c:v>
                </c:pt>
                <c:pt idx="2">
                  <c:v>10.1</c:v>
                </c:pt>
                <c:pt idx="3">
                  <c:v>11.1</c:v>
                </c:pt>
                <c:pt idx="4">
                  <c:v>12.28</c:v>
                </c:pt>
                <c:pt idx="5">
                  <c:v>13.35</c:v>
                </c:pt>
                <c:pt idx="6">
                  <c:v>14.35</c:v>
                </c:pt>
                <c:pt idx="7">
                  <c:v>15.35</c:v>
                </c:pt>
                <c:pt idx="8">
                  <c:v>16.350000000000001</c:v>
                </c:pt>
                <c:pt idx="9">
                  <c:v>17.350000000000001</c:v>
                </c:pt>
                <c:pt idx="10">
                  <c:v>19.52</c:v>
                </c:pt>
                <c:pt idx="11">
                  <c:v>21.27</c:v>
                </c:pt>
                <c:pt idx="12">
                  <c:v>33.020000000000003</c:v>
                </c:pt>
              </c:numCache>
            </c:numRef>
          </c:xVal>
          <c:yVal>
            <c:numRef>
              <c:f>'1257 (Opt)'!$C$18:$C$84</c:f>
              <c:numCache>
                <c:formatCode>0.000</c:formatCode>
                <c:ptCount val="67"/>
                <c:pt idx="0">
                  <c:v>5.6000000000000001E-2</c:v>
                </c:pt>
                <c:pt idx="1">
                  <c:v>0.11600000000000001</c:v>
                </c:pt>
                <c:pt idx="2">
                  <c:v>0.15</c:v>
                </c:pt>
                <c:pt idx="3">
                  <c:v>0.185</c:v>
                </c:pt>
                <c:pt idx="4">
                  <c:v>0.22500000000000001</c:v>
                </c:pt>
                <c:pt idx="5">
                  <c:v>0.28499999999999998</c:v>
                </c:pt>
                <c:pt idx="6">
                  <c:v>0.35499999999999998</c:v>
                </c:pt>
                <c:pt idx="7">
                  <c:v>0.4</c:v>
                </c:pt>
                <c:pt idx="8">
                  <c:v>0.56999999999999995</c:v>
                </c:pt>
                <c:pt idx="9">
                  <c:v>0.71</c:v>
                </c:pt>
                <c:pt idx="10">
                  <c:v>0.98</c:v>
                </c:pt>
                <c:pt idx="11">
                  <c:v>1.38</c:v>
                </c:pt>
                <c:pt idx="12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'1257 (Opt)'!$F$18:$F$103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'1257 (Opt)'!$G$18:$G$103</c:f>
              <c:numCache>
                <c:formatCode>0.0</c:formatCode>
                <c:ptCount val="86"/>
                <c:pt idx="0">
                  <c:v>5.6003727746773709E-2</c:v>
                </c:pt>
                <c:pt idx="1">
                  <c:v>5.6017394279210618E-2</c:v>
                </c:pt>
                <c:pt idx="2">
                  <c:v>5.6068398910492194E-2</c:v>
                </c:pt>
                <c:pt idx="3">
                  <c:v>5.6231010027060609E-2</c:v>
                </c:pt>
                <c:pt idx="4">
                  <c:v>5.668153843722417E-2</c:v>
                </c:pt>
                <c:pt idx="5">
                  <c:v>5.778300029484329E-2</c:v>
                </c:pt>
                <c:pt idx="6">
                  <c:v>6.0191919531109722E-2</c:v>
                </c:pt>
                <c:pt idx="7">
                  <c:v>6.4962509318003084E-2</c:v>
                </c:pt>
                <c:pt idx="8">
                  <c:v>7.3610979364311935E-2</c:v>
                </c:pt>
                <c:pt idx="9">
                  <c:v>8.8103147122695333E-2</c:v>
                </c:pt>
                <c:pt idx="10">
                  <c:v>0.11074474597398462</c:v>
                </c:pt>
                <c:pt idx="11">
                  <c:v>0.14398047863699376</c:v>
                </c:pt>
                <c:pt idx="12">
                  <c:v>0.19013434918376279</c:v>
                </c:pt>
                <c:pt idx="13">
                  <c:v>0.25114007179444886</c:v>
                </c:pt>
                <c:pt idx="14">
                  <c:v>0.32831159436981783</c:v>
                </c:pt>
                <c:pt idx="15">
                  <c:v>0.42219157863828322</c:v>
                </c:pt>
                <c:pt idx="16">
                  <c:v>0.5324959612936695</c:v>
                </c:pt>
                <c:pt idx="17">
                  <c:v>0.65815240722594015</c:v>
                </c:pt>
                <c:pt idx="18">
                  <c:v>0.79741481446270479</c:v>
                </c:pt>
                <c:pt idx="19">
                  <c:v>0.94802748081022015</c:v>
                </c:pt>
                <c:pt idx="20">
                  <c:v>1.1074109446029792</c:v>
                </c:pt>
                <c:pt idx="21">
                  <c:v>1.2728450956980446</c:v>
                </c:pt>
                <c:pt idx="22">
                  <c:v>1.4416315939836031</c:v>
                </c:pt>
                <c:pt idx="23">
                  <c:v>1.6112248377068596</c:v>
                </c:pt>
                <c:pt idx="24">
                  <c:v>1.7793272210222595</c:v>
                </c:pt>
                <c:pt idx="25">
                  <c:v>1.9439494264387667</c:v>
                </c:pt>
                <c:pt idx="26">
                  <c:v>2.1034397950540678</c:v>
                </c:pt>
                <c:pt idx="27">
                  <c:v>2.2564885575006426</c:v>
                </c:pt>
                <c:pt idx="28">
                  <c:v>2.4021132286364213</c:v>
                </c:pt>
                <c:pt idx="29">
                  <c:v>2.5396311539175778</c:v>
                </c:pt>
                <c:pt idx="30">
                  <c:v>2.6686243934359815</c:v>
                </c:pt>
                <c:pt idx="31">
                  <c:v>2.788901113912138</c:v>
                </c:pt>
                <c:pt idx="32">
                  <c:v>2.9004566193203125</c:v>
                </c:pt>
                <c:pt idx="33">
                  <c:v>3.0034362030176203</c:v>
                </c:pt>
                <c:pt idx="34">
                  <c:v>3.098101206400429</c:v>
                </c:pt>
                <c:pt idx="35">
                  <c:v>3.1847990392381287</c:v>
                </c:pt>
                <c:pt idx="36">
                  <c:v>3.2639374479585865</c:v>
                </c:pt>
                <c:pt idx="37">
                  <c:v>3.335962989902415</c:v>
                </c:pt>
                <c:pt idx="38">
                  <c:v>3.4013434581906066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77232"/>
        <c:axId val="-1559776688"/>
      </c:scatterChart>
      <c:valAx>
        <c:axId val="-1559777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6688"/>
        <c:crosses val="autoZero"/>
        <c:crossBetween val="midCat"/>
      </c:valAx>
      <c:valAx>
        <c:axId val="-1559776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72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87538226610225"/>
          <c:y val="0.18468068778044638"/>
          <c:w val="0.63476345933562428"/>
          <c:h val="0.593875171467764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triang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'Fernandez-Moya'!$B$18:$B$84</c:f>
              <c:numCache>
                <c:formatCode>0.0</c:formatCode>
                <c:ptCount val="67"/>
                <c:pt idx="0">
                  <c:v>0</c:v>
                </c:pt>
                <c:pt idx="1">
                  <c:v>13.183</c:v>
                </c:pt>
                <c:pt idx="2">
                  <c:v>15.917</c:v>
                </c:pt>
                <c:pt idx="3">
                  <c:v>18</c:v>
                </c:pt>
                <c:pt idx="4">
                  <c:v>19.832999999999998</c:v>
                </c:pt>
                <c:pt idx="5">
                  <c:v>21.75</c:v>
                </c:pt>
                <c:pt idx="6">
                  <c:v>23.75</c:v>
                </c:pt>
                <c:pt idx="7">
                  <c:v>27.5</c:v>
                </c:pt>
                <c:pt idx="8">
                  <c:v>32.75</c:v>
                </c:pt>
                <c:pt idx="9">
                  <c:v>41.5</c:v>
                </c:pt>
                <c:pt idx="10">
                  <c:v>44.167000000000002</c:v>
                </c:pt>
                <c:pt idx="11">
                  <c:v>48.832999999999998</c:v>
                </c:pt>
                <c:pt idx="12">
                  <c:v>53.283000000000001</c:v>
                </c:pt>
              </c:numCache>
            </c:numRef>
          </c:xVal>
          <c:yVal>
            <c:numRef>
              <c:f>'Fernandez-Moya'!$C$18:$C$84</c:f>
              <c:numCache>
                <c:formatCode>0.000</c:formatCode>
                <c:ptCount val="67"/>
                <c:pt idx="0">
                  <c:v>0.1</c:v>
                </c:pt>
                <c:pt idx="1">
                  <c:v>0.16200000000000001</c:v>
                </c:pt>
                <c:pt idx="2">
                  <c:v>0.28000000000000003</c:v>
                </c:pt>
                <c:pt idx="3">
                  <c:v>0.46</c:v>
                </c:pt>
                <c:pt idx="4">
                  <c:v>0.56000000000000005</c:v>
                </c:pt>
                <c:pt idx="5">
                  <c:v>0.62</c:v>
                </c:pt>
                <c:pt idx="6">
                  <c:v>0.8</c:v>
                </c:pt>
                <c:pt idx="7">
                  <c:v>1.18</c:v>
                </c:pt>
                <c:pt idx="8">
                  <c:v>2.02</c:v>
                </c:pt>
                <c:pt idx="9">
                  <c:v>4.72</c:v>
                </c:pt>
                <c:pt idx="10">
                  <c:v>5.72</c:v>
                </c:pt>
                <c:pt idx="11">
                  <c:v>6.04</c:v>
                </c:pt>
                <c:pt idx="12">
                  <c:v>5.96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F-4639-B292-6DD60C0E0617}"/>
            </c:ext>
          </c:extLst>
        </c:ser>
        <c:ser>
          <c:idx val="2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'Fernandez-Moya'!$F$18:$F$103</c:f>
              <c:numCache>
                <c:formatCode>0.0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</c:v>
                </c:pt>
                <c:pt idx="28">
                  <c:v>36</c:v>
                </c:pt>
                <c:pt idx="29">
                  <c:v>38</c:v>
                </c:pt>
                <c:pt idx="30">
                  <c:v>40</c:v>
                </c:pt>
                <c:pt idx="31">
                  <c:v>42</c:v>
                </c:pt>
                <c:pt idx="32">
                  <c:v>44</c:v>
                </c:pt>
                <c:pt idx="33">
                  <c:v>46</c:v>
                </c:pt>
                <c:pt idx="34">
                  <c:v>48</c:v>
                </c:pt>
                <c:pt idx="35">
                  <c:v>50</c:v>
                </c:pt>
                <c:pt idx="36">
                  <c:v>52</c:v>
                </c:pt>
                <c:pt idx="37">
                  <c:v>54</c:v>
                </c:pt>
                <c:pt idx="38">
                  <c:v>56</c:v>
                </c:pt>
              </c:numCache>
            </c:numRef>
          </c:xVal>
          <c:yVal>
            <c:numRef>
              <c:f>'Fernandez-Moya'!$G$18:$G$103</c:f>
              <c:numCache>
                <c:formatCode>0.0</c:formatCode>
                <c:ptCount val="86"/>
                <c:pt idx="0">
                  <c:v>0.10000000000011604</c:v>
                </c:pt>
                <c:pt idx="1">
                  <c:v>0.10000000000268987</c:v>
                </c:pt>
                <c:pt idx="2">
                  <c:v>0.10000000004567201</c:v>
                </c:pt>
                <c:pt idx="3">
                  <c:v>0.10000000058577142</c:v>
                </c:pt>
                <c:pt idx="4">
                  <c:v>0.10000000583492562</c:v>
                </c:pt>
                <c:pt idx="5">
                  <c:v>0.10000004628560157</c:v>
                </c:pt>
                <c:pt idx="6">
                  <c:v>0.10000029905912695</c:v>
                </c:pt>
                <c:pt idx="7">
                  <c:v>0.10000160618416166</c:v>
                </c:pt>
                <c:pt idx="8">
                  <c:v>0.10000730319536591</c:v>
                </c:pt>
                <c:pt idx="9">
                  <c:v>0.10002858078780322</c:v>
                </c:pt>
                <c:pt idx="10">
                  <c:v>0.10009770883402809</c:v>
                </c:pt>
                <c:pt idx="11">
                  <c:v>0.1002957379504518</c:v>
                </c:pt>
                <c:pt idx="12">
                  <c:v>0.10080210833992201</c:v>
                </c:pt>
                <c:pt idx="13">
                  <c:v>0.10197075161065622</c:v>
                </c:pt>
                <c:pt idx="14">
                  <c:v>0.10442951499434283</c:v>
                </c:pt>
                <c:pt idx="15">
                  <c:v>0.10918834212374924</c:v>
                </c:pt>
                <c:pt idx="16">
                  <c:v>0.11773072771303099</c:v>
                </c:pt>
                <c:pt idx="17">
                  <c:v>0.13205783344613883</c:v>
                </c:pt>
                <c:pt idx="18">
                  <c:v>0.15465900174776215</c:v>
                </c:pt>
                <c:pt idx="19">
                  <c:v>0.18839614148205086</c:v>
                </c:pt>
                <c:pt idx="20">
                  <c:v>0.2363085558256284</c:v>
                </c:pt>
                <c:pt idx="21">
                  <c:v>0.38618684334095277</c:v>
                </c:pt>
                <c:pt idx="22">
                  <c:v>0.62253456148320863</c:v>
                </c:pt>
                <c:pt idx="23">
                  <c:v>0.95180970740951865</c:v>
                </c:pt>
                <c:pt idx="24">
                  <c:v>1.3664981546084818</c:v>
                </c:pt>
                <c:pt idx="25">
                  <c:v>1.8475397401430054</c:v>
                </c:pt>
                <c:pt idx="26">
                  <c:v>2.3694411022309922</c:v>
                </c:pt>
                <c:pt idx="27">
                  <c:v>2.9056828493687026</c:v>
                </c:pt>
                <c:pt idx="28">
                  <c:v>3.4328114487845545</c:v>
                </c:pt>
                <c:pt idx="29">
                  <c:v>3.9326768812652699</c:v>
                </c:pt>
                <c:pt idx="30">
                  <c:v>4.3930363912027488</c:v>
                </c:pt>
                <c:pt idx="31">
                  <c:v>4.8070639814331226</c:v>
                </c:pt>
                <c:pt idx="32">
                  <c:v>5.1723097469793302</c:v>
                </c:pt>
                <c:pt idx="33">
                  <c:v>5.4895133218960055</c:v>
                </c:pt>
                <c:pt idx="34">
                  <c:v>5.7615117007548911</c:v>
                </c:pt>
                <c:pt idx="35">
                  <c:v>5.9923503322567804</c:v>
                </c:pt>
                <c:pt idx="36">
                  <c:v>6.1866214360730218</c:v>
                </c:pt>
                <c:pt idx="37">
                  <c:v>6.3490081952264932</c:v>
                </c:pt>
                <c:pt idx="38">
                  <c:v>6.483995243873327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F-4639-B292-6DD60C0E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9772880"/>
        <c:axId val="-1559772336"/>
      </c:scatterChart>
      <c:valAx>
        <c:axId val="-155977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(days)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2336"/>
        <c:crosses val="autoZero"/>
        <c:crossBetween val="midCat"/>
      </c:valAx>
      <c:valAx>
        <c:axId val="-1559772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mg COD-CH4/gCOD</a:t>
                </a:r>
                <a:r>
                  <a:rPr lang="en-US" b="1" baseline="-25000"/>
                  <a:t>MBM</a:t>
                </a:r>
                <a:r>
                  <a:rPr lang="en-US" b="1"/>
                  <a:t> (STP) </a:t>
                </a:r>
                <a:endParaRPr lang="pt-PT" b="1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597728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422" r="0.75000000000000422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1643062</xdr:colOff>
      <xdr:row>33</xdr:row>
      <xdr:rowOff>130970</xdr:rowOff>
    </xdr:from>
    <xdr:to>
      <xdr:col>13</xdr:col>
      <xdr:colOff>27468</xdr:colOff>
      <xdr:row>40</xdr:row>
      <xdr:rowOff>11908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=""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14966156" y="7691439"/>
              <a:ext cx="3992250" cy="1047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14966156" y="7691439"/>
              <a:ext cx="3992250" cy="1047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=""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3715999" y="7393783"/>
              <a:ext cx="3992250" cy="1047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13715999" y="7393783"/>
              <a:ext cx="3992250" cy="1047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F5C1EF08-F33D-43FA-AFE2-AE8AFB44D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id="{B2DC5140-DD36-4CAA-93E7-C60B29361F53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2DC5140-DD36-4CAA-93E7-C60B29361F53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968C54CC-6B1D-4E51-9226-0397B06D4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id="{189FF16F-64F4-4DFB-9C4F-E68EEC96E6BE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189FF16F-64F4-4DFB-9C4F-E68EEC96E6BE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xmlns:a14="http://schemas.microsoft.com/office/drawing/2010/main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="" xmlns:a16="http://schemas.microsoft.com/office/drawing/2014/main" id="{33127F87-0274-4FE9-9278-3AD2F93EA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id="{A7A7B932-984A-4FC1-B923-F77D92528A7A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A7A7B932-984A-4FC1-B923-F77D92528A7A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1433510</xdr:colOff>
      <xdr:row>3</xdr:row>
      <xdr:rowOff>161926</xdr:rowOff>
    </xdr:from>
    <xdr:to>
      <xdr:col>10</xdr:col>
      <xdr:colOff>1321592</xdr:colOff>
      <xdr:row>15</xdr:row>
      <xdr:rowOff>142875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392905</xdr:colOff>
      <xdr:row>32</xdr:row>
      <xdr:rowOff>83345</xdr:rowOff>
    </xdr:from>
    <xdr:to>
      <xdr:col>11</xdr:col>
      <xdr:colOff>932343</xdr:colOff>
      <xdr:row>38</xdr:row>
      <xdr:rowOff>130970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xmlns="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𝑐𝑒𝑙𝑙𝑠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pt-P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×1,42×</m:t>
                    </m:r>
                    <m:sSub>
                      <m:sSubPr>
                        <m:ctrlP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𝐶𝑂𝐷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4 </m:t>
                        </m:r>
                      </m:sub>
                    </m:sSub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P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𝐶𝐻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=0,03 </m:t>
                    </m:r>
                    <m:f>
                      <m:fPr>
                        <m:type m:val="skw"/>
                        <m:ctrlPr>
                          <a:rPr lang="pt-P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𝑔𝑉𝑆𝑆</m:t>
                        </m:r>
                      </m:num>
                      <m:den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PT" sz="1100" b="0" i="1">
                            <a:latin typeface="Cambria Math" panose="02040503050406030204" pitchFamily="18" charset="0"/>
                          </a:rPr>
                          <m:t>𝐶𝑂𝐷</m:t>
                        </m:r>
                      </m:den>
                    </m:f>
                  </m:oMath>
                </m:oMathPara>
              </a14:m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="" xmlns:a16="http://schemas.microsoft.com/office/drawing/2014/main" xmlns:a14="http://schemas.microsoft.com/office/drawing/2010/main" id="{E8D4A01B-D1A4-41BE-9A3C-25B7F8282A5D}"/>
                </a:ext>
              </a:extLst>
            </xdr:cNvPr>
            <xdr:cNvSpPr txBox="1"/>
          </xdr:nvSpPr>
          <xdr:spPr>
            <a:xfrm>
              <a:off x="13727905" y="7312820"/>
              <a:ext cx="3987488" cy="1019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tIns="36000" bIns="36000" rtlCol="0" anchor="ctr"/>
            <a:lstStyle/>
            <a:p>
              <a:endParaRPr lang="pt-PT" sz="1100" i="1">
                <a:latin typeface="Cambria Math" panose="02040503050406030204" pitchFamily="18" charset="0"/>
              </a:endParaRPr>
            </a:p>
            <a:p>
              <a:pPr/>
              <a:r>
                <a:rPr lang="pt-PT" sz="1100" i="0">
                  <a:latin typeface="Cambria Math" panose="02040503050406030204" pitchFamily="18" charset="0"/>
                </a:rPr>
                <a:t>〖</a:t>
              </a:r>
              <a:r>
                <a:rPr lang="pt-PT" sz="1100" b="0" i="0">
                  <a:latin typeface="Cambria Math" panose="02040503050406030204" pitchFamily="18" charset="0"/>
                </a:rPr>
                <a:t>𝐶𝑂𝐷〗_(𝑐𝑒𝑙𝑙𝑠_𝐶𝐻4)=𝑌</a:t>
              </a:r>
              <a:r>
                <a:rPr lang="pt-P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×1,42×〖𝐶𝑂𝐷〗_(𝐶𝐻4 )</a:t>
              </a:r>
              <a:endParaRPr lang="pt-PT" sz="1100"/>
            </a:p>
            <a:p>
              <a:endParaRPr lang="pt-PT" sz="1100"/>
            </a:p>
            <a:p>
              <a:pPr/>
              <a:r>
                <a:rPr lang="pt-PT" sz="1100" b="0" i="0">
                  <a:latin typeface="Cambria Math" panose="02040503050406030204" pitchFamily="18" charset="0"/>
                </a:rPr>
                <a:t>𝑌_𝐶𝐻4=0,03  𝑔𝑉𝑆𝑆⁄(𝑔 𝐶𝑂𝐷)</a:t>
              </a:r>
              <a:endParaRPr lang="pt-PT" sz="1100"/>
            </a:p>
            <a:p>
              <a:endParaRPr lang="pt-PT" sz="1100"/>
            </a:p>
            <a:p>
              <a:endParaRPr lang="pt-PT" sz="1100"/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1278729</xdr:colOff>
      <xdr:row>1</xdr:row>
      <xdr:rowOff>150019</xdr:rowOff>
    </xdr:from>
    <xdr:to>
      <xdr:col>10</xdr:col>
      <xdr:colOff>1166811</xdr:colOff>
      <xdr:row>14</xdr:row>
      <xdr:rowOff>35718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1552572</xdr:colOff>
      <xdr:row>2</xdr:row>
      <xdr:rowOff>233364</xdr:rowOff>
    </xdr:from>
    <xdr:to>
      <xdr:col>10</xdr:col>
      <xdr:colOff>1440654</xdr:colOff>
      <xdr:row>14</xdr:row>
      <xdr:rowOff>285750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445291</xdr:colOff>
      <xdr:row>0</xdr:row>
      <xdr:rowOff>114301</xdr:rowOff>
    </xdr:from>
    <xdr:to>
      <xdr:col>11</xdr:col>
      <xdr:colOff>404811</xdr:colOff>
      <xdr:row>13</xdr:row>
      <xdr:rowOff>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63147779-03FC-4EC5-A2C8-EAF25436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9.2851562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DEVSQ(D18:D95)</f>
        <v>89.192628637128749</v>
      </c>
      <c r="D6" s="126">
        <f>SUM(E18:E95)</f>
        <v>3.1755475004469695</v>
      </c>
      <c r="E6" s="111">
        <f>$C$6-$D$6</f>
        <v>86.017081136681782</v>
      </c>
      <c r="F6" s="112">
        <f>$E$6/$C$6</f>
        <v>0.96439674949634724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0.98203704079650034</v>
      </c>
      <c r="D8" s="2">
        <f>D6/(COUNT(E18:E60)-COUNT(D11:D13)-1)</f>
        <v>0.17641930558038721</v>
      </c>
      <c r="E8" s="2">
        <f>(E6/1)</f>
        <v>86.017081136681782</v>
      </c>
      <c r="F8" s="2">
        <f>E8/D8</f>
        <v>487.57181564512643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1.7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2.5" customHeight="1" thickBot="1" x14ac:dyDescent="0.25">
      <c r="C11" s="8" t="s">
        <v>4</v>
      </c>
      <c r="D11" s="157">
        <v>5.7036817383960869</v>
      </c>
      <c r="E11" s="162">
        <f>ERROS_183!F3</f>
        <v>0.11617291744232752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2.5" customHeight="1" thickBot="1" x14ac:dyDescent="0.25">
      <c r="C12" s="8" t="s">
        <v>6</v>
      </c>
      <c r="D12" s="157">
        <v>0.32228397822242388</v>
      </c>
      <c r="E12" s="162">
        <f>ERROS_183!F4</f>
        <v>4.4441335377121971E-2</v>
      </c>
      <c r="H12" s="82"/>
      <c r="I12" s="82"/>
      <c r="J12" s="82"/>
      <c r="K12" s="82"/>
      <c r="N12" s="23"/>
      <c r="O12" s="23"/>
      <c r="P12" s="23"/>
      <c r="Q12" s="86"/>
    </row>
    <row r="13" spans="2:17" ht="22.5" customHeight="1" thickBot="1" x14ac:dyDescent="0.25">
      <c r="C13" s="13" t="s">
        <v>5</v>
      </c>
      <c r="D13" s="157">
        <v>3.848498375713854</v>
      </c>
      <c r="E13" s="162">
        <f>ERROS_183!F5</f>
        <v>1.4045745495299695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 t="s">
        <v>35</v>
      </c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20"/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20"/>
      <c r="H17" s="100"/>
      <c r="I17" s="102"/>
      <c r="K17" s="4"/>
      <c r="L17" s="4"/>
      <c r="M17" s="4"/>
      <c r="N17" s="4"/>
    </row>
    <row r="18" spans="2:15" ht="13.5" customHeight="1" x14ac:dyDescent="0.2">
      <c r="B18" s="140">
        <v>0</v>
      </c>
      <c r="C18" s="154">
        <v>0.44166666666666665</v>
      </c>
      <c r="D18" s="132">
        <f>$C$18+$D$11*EXP(-EXP(($D$12*EXP(1))/$D$11*($D$13-B18)+1))</f>
        <v>0.48375059596374115</v>
      </c>
      <c r="E18" s="133">
        <f>(C18-D18)^2</f>
        <v>1.771057105081165E-3</v>
      </c>
      <c r="F18" s="94">
        <v>0</v>
      </c>
      <c r="G18" s="94">
        <f>$C$18+$D$11*EXP(-EXP(($D$12*EXP(1))/$D$11*($D$13-F18)+1))</f>
        <v>0.48375059596374115</v>
      </c>
      <c r="H18" s="95"/>
      <c r="I18" s="95"/>
      <c r="K18" s="4"/>
      <c r="L18" s="4"/>
      <c r="M18" s="4"/>
      <c r="N18" s="122"/>
      <c r="O18" s="122"/>
    </row>
    <row r="19" spans="2:15" ht="13.5" customHeight="1" x14ac:dyDescent="0.2">
      <c r="B19" s="141">
        <v>2.3333333334303461</v>
      </c>
      <c r="C19" s="154">
        <v>0.47833333333333333</v>
      </c>
      <c r="D19" s="132">
        <f t="shared" ref="D19:D39" si="0">$C$18+$D$11*EXP(-EXP(($D$12*EXP(1))/$D$11*($D$13-B19)+1))</f>
        <v>0.6262888699680802</v>
      </c>
      <c r="E19" s="133">
        <f t="shared" ref="E19" si="1">(C19-D19)^2</f>
        <v>2.1890840820875921E-2</v>
      </c>
      <c r="F19" s="94">
        <v>1</v>
      </c>
      <c r="G19" s="94">
        <f t="shared" ref="G19:G40" si="2">$C$18+$D$11*EXP(-EXP(($D$12*EXP(1))/$D$11*($D$13-F19)+1))</f>
        <v>0.52632662624387805</v>
      </c>
      <c r="H19" s="95"/>
      <c r="I19" s="95"/>
      <c r="J19" s="95"/>
      <c r="K19" s="150"/>
      <c r="L19" s="150"/>
      <c r="M19" s="150"/>
      <c r="N19" s="4"/>
    </row>
    <row r="20" spans="2:15" x14ac:dyDescent="0.2">
      <c r="B20" s="141">
        <v>4.4166666667442769</v>
      </c>
      <c r="C20" s="154">
        <v>0.75166666666666659</v>
      </c>
      <c r="D20" s="132">
        <f t="shared" si="0"/>
        <v>0.91402983942858973</v>
      </c>
      <c r="E20" s="133">
        <f t="shared" ref="E20:E39" si="3">(C20-D20)^2</f>
        <v>2.6361799869318098E-2</v>
      </c>
      <c r="F20" s="94">
        <v>2</v>
      </c>
      <c r="G20" s="94">
        <f t="shared" si="2"/>
        <v>0.59584324827626522</v>
      </c>
      <c r="H20" s="95"/>
      <c r="I20" s="95"/>
      <c r="J20" s="95"/>
      <c r="K20" s="147"/>
      <c r="L20" s="147"/>
      <c r="M20" s="147"/>
      <c r="N20" s="122"/>
    </row>
    <row r="21" spans="2:15" x14ac:dyDescent="0.2">
      <c r="B21" s="141">
        <v>5.9500000000116415</v>
      </c>
      <c r="C21" s="154">
        <v>1.3566666666666667</v>
      </c>
      <c r="D21" s="132">
        <f t="shared" si="0"/>
        <v>1.2383606889935868</v>
      </c>
      <c r="E21" s="133">
        <f t="shared" si="3"/>
        <v>1.3996304353183288E-2</v>
      </c>
      <c r="F21" s="94">
        <v>3</v>
      </c>
      <c r="G21" s="94">
        <f t="shared" si="2"/>
        <v>0.69947161933647306</v>
      </c>
      <c r="H21" s="95"/>
      <c r="I21" s="95"/>
      <c r="J21" s="95"/>
      <c r="K21" s="147"/>
      <c r="L21" s="124"/>
      <c r="M21" s="124"/>
      <c r="N21" s="122"/>
    </row>
    <row r="22" spans="2:15" x14ac:dyDescent="0.2">
      <c r="B22" s="141">
        <v>20.333333333430346</v>
      </c>
      <c r="C22" s="154">
        <v>5.5040000000000004</v>
      </c>
      <c r="D22" s="132">
        <f t="shared" si="0"/>
        <v>5.036844076806041</v>
      </c>
      <c r="E22" s="133">
        <f t="shared" si="3"/>
        <v>0.21823465657520058</v>
      </c>
      <c r="F22" s="94">
        <v>4</v>
      </c>
      <c r="G22" s="94">
        <f t="shared" si="2"/>
        <v>0.84232510773338043</v>
      </c>
      <c r="H22" s="95"/>
      <c r="I22" s="95"/>
      <c r="J22" s="95"/>
      <c r="K22" s="148"/>
      <c r="L22" s="124"/>
      <c r="M22" s="124"/>
      <c r="N22" s="4"/>
    </row>
    <row r="23" spans="2:15" x14ac:dyDescent="0.2">
      <c r="B23" s="141">
        <v>22.416666666744277</v>
      </c>
      <c r="C23" s="154">
        <v>5.0866666666666669</v>
      </c>
      <c r="D23" s="132">
        <f t="shared" si="0"/>
        <v>5.3169891736314989</v>
      </c>
      <c r="E23" s="133">
        <f t="shared" si="3"/>
        <v>5.3048457214565102E-2</v>
      </c>
      <c r="F23" s="94">
        <v>5</v>
      </c>
      <c r="G23" s="94">
        <f t="shared" si="2"/>
        <v>1.0264483983749293</v>
      </c>
      <c r="H23" s="95"/>
      <c r="I23" s="95"/>
      <c r="J23" s="95"/>
      <c r="K23" s="148"/>
      <c r="L23" s="124"/>
      <c r="M23" s="124"/>
      <c r="N23" s="4"/>
    </row>
    <row r="24" spans="2:15" x14ac:dyDescent="0.2">
      <c r="B24" s="142">
        <v>26.416666666686069</v>
      </c>
      <c r="C24" s="154">
        <v>5.6066666666666665</v>
      </c>
      <c r="D24" s="132">
        <f t="shared" si="0"/>
        <v>5.6811293743779272</v>
      </c>
      <c r="E24" s="133">
        <f t="shared" si="3"/>
        <v>5.5446948396926489E-3</v>
      </c>
      <c r="F24" s="94">
        <v>6</v>
      </c>
      <c r="G24" s="94">
        <f t="shared" si="2"/>
        <v>1.250448831992736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42">
        <v>28.583333333430346</v>
      </c>
      <c r="C25" s="154">
        <v>5.8066666666666658</v>
      </c>
      <c r="D25" s="132">
        <f t="shared" si="0"/>
        <v>5.8085661954247545</v>
      </c>
      <c r="E25" s="133">
        <f t="shared" si="3"/>
        <v>3.6082095028061589E-6</v>
      </c>
      <c r="F25" s="94">
        <v>7</v>
      </c>
      <c r="G25" s="94">
        <f t="shared" si="2"/>
        <v>1.5097784769574887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42">
        <v>29.616666666639503</v>
      </c>
      <c r="C26" s="154">
        <v>5.3999999999999995</v>
      </c>
      <c r="D26" s="132">
        <f t="shared" si="0"/>
        <v>5.8567184653446995</v>
      </c>
      <c r="E26" s="133">
        <f t="shared" si="3"/>
        <v>0.208591756586818</v>
      </c>
      <c r="F26" s="94">
        <v>8</v>
      </c>
      <c r="G26" s="94">
        <f t="shared" si="2"/>
        <v>1.7974939274800896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42">
        <v>44.666666666627862</v>
      </c>
      <c r="C27" s="154">
        <v>5.8633333333333342</v>
      </c>
      <c r="D27" s="132">
        <f t="shared" si="0"/>
        <v>6.1160709870068724</v>
      </c>
      <c r="E27" s="133">
        <f t="shared" si="3"/>
        <v>6.3876321584405329E-2</v>
      </c>
      <c r="F27" s="94">
        <v>9</v>
      </c>
      <c r="G27" s="94">
        <f t="shared" si="2"/>
        <v>2.1052443945898478</v>
      </c>
      <c r="H27" s="95"/>
      <c r="I27" s="95"/>
      <c r="J27" s="103"/>
      <c r="K27" s="122"/>
      <c r="L27" s="122"/>
      <c r="M27" s="122"/>
    </row>
    <row r="28" spans="2:15" x14ac:dyDescent="0.2">
      <c r="B28" s="142">
        <v>48</v>
      </c>
      <c r="C28" s="154">
        <v>5.7666666666666657</v>
      </c>
      <c r="D28" s="132">
        <f t="shared" si="0"/>
        <v>6.1277842088265517</v>
      </c>
      <c r="E28" s="133">
        <f t="shared" si="3"/>
        <v>0.13040587925559705</v>
      </c>
      <c r="F28" s="94">
        <v>10</v>
      </c>
      <c r="G28" s="94">
        <f t="shared" si="2"/>
        <v>2.4242565598581951</v>
      </c>
      <c r="H28" s="95"/>
      <c r="I28" s="95"/>
      <c r="J28" s="122"/>
      <c r="K28" s="122"/>
      <c r="L28" s="122"/>
    </row>
    <row r="29" spans="2:15" x14ac:dyDescent="0.2">
      <c r="B29" s="142">
        <v>49.833333333372138</v>
      </c>
      <c r="C29" s="154">
        <v>5.8466666666666667</v>
      </c>
      <c r="D29" s="132">
        <f t="shared" si="0"/>
        <v>6.1320897647520587</v>
      </c>
      <c r="E29" s="133">
        <f t="shared" si="3"/>
        <v>8.1466344920663306E-2</v>
      </c>
      <c r="F29" s="94">
        <v>15</v>
      </c>
      <c r="G29" s="94">
        <f t="shared" si="2"/>
        <v>3.9349821564882594</v>
      </c>
      <c r="H29" s="95"/>
      <c r="I29" s="95"/>
      <c r="J29" s="122"/>
      <c r="K29" s="122"/>
      <c r="L29" s="122"/>
    </row>
    <row r="30" spans="2:15" x14ac:dyDescent="0.2">
      <c r="B30" s="142">
        <v>52.833333333372138</v>
      </c>
      <c r="C30" s="154">
        <v>6.1333333333333329</v>
      </c>
      <c r="D30" s="132">
        <f t="shared" si="0"/>
        <v>6.1369814247262839</v>
      </c>
      <c r="E30" s="133">
        <f t="shared" si="3"/>
        <v>1.3308570811323756E-5</v>
      </c>
      <c r="F30" s="94">
        <v>20</v>
      </c>
      <c r="G30" s="94">
        <f t="shared" si="2"/>
        <v>4.9849730282332354</v>
      </c>
      <c r="H30" s="95"/>
      <c r="I30" s="95"/>
      <c r="J30" s="122"/>
      <c r="K30" s="122"/>
      <c r="L30" s="122"/>
    </row>
    <row r="31" spans="2:15" x14ac:dyDescent="0.2">
      <c r="B31" s="142">
        <v>68.500000000116415</v>
      </c>
      <c r="C31" s="154">
        <v>5.8566666666666665</v>
      </c>
      <c r="D31" s="132">
        <f t="shared" si="0"/>
        <v>6.1445936526355203</v>
      </c>
      <c r="E31" s="133">
        <f t="shared" si="3"/>
        <v>8.2901949249108528E-2</v>
      </c>
      <c r="F31" s="94">
        <v>25</v>
      </c>
      <c r="G31" s="94">
        <f t="shared" si="2"/>
        <v>5.5741163192864631</v>
      </c>
      <c r="H31" s="95"/>
      <c r="I31" s="95"/>
      <c r="J31" s="122"/>
      <c r="K31" s="122"/>
    </row>
    <row r="32" spans="2:15" x14ac:dyDescent="0.2">
      <c r="B32" s="142">
        <v>77.583333333372138</v>
      </c>
      <c r="C32" s="154">
        <v>6.8466666666666667</v>
      </c>
      <c r="D32" s="132">
        <f t="shared" si="0"/>
        <v>6.1451613725832317</v>
      </c>
      <c r="E32" s="133">
        <f t="shared" si="3"/>
        <v>0.49210967762708657</v>
      </c>
      <c r="F32" s="94">
        <v>30</v>
      </c>
      <c r="G32" s="94">
        <f t="shared" si="2"/>
        <v>5.8728209598740717</v>
      </c>
      <c r="H32" s="146"/>
      <c r="I32" s="95"/>
      <c r="J32" s="122"/>
      <c r="K32" s="122"/>
    </row>
    <row r="33" spans="2:11" x14ac:dyDescent="0.2">
      <c r="B33" s="143">
        <v>92.583333333372138</v>
      </c>
      <c r="C33" s="155">
        <v>6.169999999999999</v>
      </c>
      <c r="D33" s="132">
        <f t="shared" si="0"/>
        <v>6.1453297266657367</v>
      </c>
      <c r="E33" s="133">
        <f t="shared" si="3"/>
        <v>6.0862238638721374E-4</v>
      </c>
      <c r="F33" s="94">
        <v>35</v>
      </c>
      <c r="G33" s="94">
        <f t="shared" si="2"/>
        <v>6.0172489437263543</v>
      </c>
      <c r="H33" s="146"/>
      <c r="I33" s="95"/>
      <c r="J33" s="122"/>
      <c r="K33" s="122"/>
    </row>
    <row r="34" spans="2:11" x14ac:dyDescent="0.2">
      <c r="B34" s="95">
        <v>96.149999999965075</v>
      </c>
      <c r="C34" s="155">
        <v>6.7333333333333343</v>
      </c>
      <c r="D34" s="132">
        <f t="shared" si="0"/>
        <v>6.1453376050740669</v>
      </c>
      <c r="E34" s="133">
        <f t="shared" si="3"/>
        <v>0.34573897645114621</v>
      </c>
      <c r="F34" s="94">
        <v>40</v>
      </c>
      <c r="G34" s="94">
        <f t="shared" si="2"/>
        <v>6.085554611598198</v>
      </c>
      <c r="H34" s="146"/>
      <c r="I34" s="95"/>
      <c r="J34" s="122"/>
      <c r="K34" s="122"/>
    </row>
    <row r="35" spans="2:11" x14ac:dyDescent="0.2">
      <c r="B35" s="95">
        <v>99.966666666674428</v>
      </c>
      <c r="C35" s="155">
        <v>5.3466666666666667</v>
      </c>
      <c r="D35" s="132">
        <f t="shared" si="0"/>
        <v>6.1453423956714524</v>
      </c>
      <c r="E35" s="133">
        <f t="shared" si="3"/>
        <v>0.63788292010132586</v>
      </c>
      <c r="F35" s="94">
        <v>45</v>
      </c>
      <c r="G35" s="94">
        <f t="shared" si="2"/>
        <v>6.1175286497729084</v>
      </c>
      <c r="H35" s="146"/>
      <c r="I35" s="95"/>
      <c r="J35" s="122"/>
      <c r="K35" s="122"/>
    </row>
    <row r="36" spans="2:11" x14ac:dyDescent="0.2">
      <c r="B36" s="95">
        <v>101.93333333329065</v>
      </c>
      <c r="C36" s="155">
        <v>6.4266666666666667</v>
      </c>
      <c r="D36" s="132">
        <f t="shared" si="0"/>
        <v>6.1453439624047261</v>
      </c>
      <c r="E36" s="133">
        <f t="shared" si="3"/>
        <v>7.9142463933251306E-2</v>
      </c>
      <c r="F36" s="94">
        <v>50</v>
      </c>
      <c r="G36" s="94">
        <f t="shared" si="2"/>
        <v>6.1324244881127106</v>
      </c>
      <c r="H36" s="146"/>
      <c r="I36" s="95"/>
      <c r="J36" s="122"/>
      <c r="K36" s="122"/>
    </row>
    <row r="37" spans="2:11" x14ac:dyDescent="0.2">
      <c r="B37" s="95">
        <v>103.33333333331393</v>
      </c>
      <c r="C37" s="155">
        <v>6.88</v>
      </c>
      <c r="D37" s="132">
        <f t="shared" si="0"/>
        <v>6.1453448219944047</v>
      </c>
      <c r="E37" s="133">
        <f t="shared" si="3"/>
        <v>0.53971823057043278</v>
      </c>
      <c r="F37" s="94">
        <v>55</v>
      </c>
      <c r="G37" s="94">
        <f t="shared" si="2"/>
        <v>6.1393486959921626</v>
      </c>
      <c r="H37" s="146"/>
      <c r="I37" s="95"/>
      <c r="J37" s="122"/>
      <c r="K37" s="122"/>
    </row>
    <row r="38" spans="2:11" x14ac:dyDescent="0.2">
      <c r="B38" s="95">
        <v>144.33333333337214</v>
      </c>
      <c r="C38" s="155">
        <v>5.8433333333333328</v>
      </c>
      <c r="D38" s="132">
        <f t="shared" si="0"/>
        <v>6.145348398466064</v>
      </c>
      <c r="E38" s="133">
        <f t="shared" si="3"/>
        <v>9.1213099567127823E-2</v>
      </c>
      <c r="F38" s="94">
        <v>60</v>
      </c>
      <c r="G38" s="94">
        <f t="shared" si="2"/>
        <v>6.1425640492233713</v>
      </c>
      <c r="H38" s="146"/>
      <c r="I38" s="95"/>
      <c r="J38" s="122"/>
      <c r="K38" s="122"/>
    </row>
    <row r="39" spans="2:11" x14ac:dyDescent="0.2">
      <c r="B39" s="95">
        <v>165.08333333343035</v>
      </c>
      <c r="C39" s="155">
        <v>6.43</v>
      </c>
      <c r="D39" s="132">
        <f t="shared" si="0"/>
        <v>6.1453484047903668</v>
      </c>
      <c r="E39" s="133">
        <f t="shared" si="3"/>
        <v>8.1026530655388701E-2</v>
      </c>
      <c r="F39" s="94">
        <v>65</v>
      </c>
      <c r="G39" s="94">
        <f t="shared" si="2"/>
        <v>6.144056431505982</v>
      </c>
      <c r="H39" s="146"/>
      <c r="I39" s="95"/>
      <c r="J39" s="122"/>
      <c r="K39" s="122"/>
    </row>
    <row r="40" spans="2:11" x14ac:dyDescent="0.2">
      <c r="B40" s="95"/>
      <c r="C40" s="155"/>
      <c r="D40" s="132"/>
      <c r="E40" s="133"/>
      <c r="F40" s="94">
        <v>70</v>
      </c>
      <c r="G40" s="94">
        <f t="shared" si="2"/>
        <v>6.1447489563282272</v>
      </c>
      <c r="H40" s="146"/>
      <c r="I40" s="95"/>
      <c r="J40" s="122"/>
      <c r="K40" s="122"/>
    </row>
    <row r="41" spans="2:11" x14ac:dyDescent="0.2">
      <c r="B41" s="95"/>
      <c r="C41" s="155"/>
      <c r="D41" s="132"/>
      <c r="E41" s="133"/>
      <c r="F41" s="94">
        <v>75</v>
      </c>
      <c r="G41" s="94">
        <f t="shared" ref="G41:G60" si="4">$C$18+$D$11*EXP(-EXP(($D$12*EXP(1))/$D$11*($D$13-F41)+1))</f>
        <v>6.1450702824275929</v>
      </c>
      <c r="H41" s="146"/>
      <c r="I41" s="122"/>
      <c r="J41" s="122"/>
      <c r="K41" s="122"/>
    </row>
    <row r="42" spans="2:11" x14ac:dyDescent="0.2">
      <c r="B42" s="95"/>
      <c r="C42" s="155"/>
      <c r="D42" s="132"/>
      <c r="E42" s="133"/>
      <c r="F42" s="94">
        <v>80</v>
      </c>
      <c r="G42" s="94">
        <f t="shared" si="4"/>
        <v>6.1452193681198297</v>
      </c>
      <c r="H42" s="146"/>
      <c r="I42" s="122"/>
      <c r="J42" s="122"/>
      <c r="K42" s="122"/>
    </row>
    <row r="43" spans="2:11" x14ac:dyDescent="0.2">
      <c r="B43" s="95"/>
      <c r="C43" s="155"/>
      <c r="D43" s="132"/>
      <c r="E43" s="133"/>
      <c r="F43" s="94">
        <v>85</v>
      </c>
      <c r="G43" s="94">
        <f t="shared" si="4"/>
        <v>6.1452885378894928</v>
      </c>
      <c r="H43" s="146"/>
      <c r="I43" s="122"/>
      <c r="J43" s="122"/>
      <c r="K43" s="122"/>
    </row>
    <row r="44" spans="2:11" x14ac:dyDescent="0.2">
      <c r="B44" s="95"/>
      <c r="C44" s="155"/>
      <c r="D44" s="132"/>
      <c r="E44" s="133"/>
      <c r="F44" s="94">
        <v>90</v>
      </c>
      <c r="G44" s="94">
        <f t="shared" si="4"/>
        <v>6.1453206295536384</v>
      </c>
      <c r="H44" s="146"/>
      <c r="I44" s="122"/>
      <c r="J44" s="122"/>
      <c r="K44" s="122"/>
    </row>
    <row r="45" spans="2:11" x14ac:dyDescent="0.2">
      <c r="B45" s="95"/>
      <c r="C45" s="155"/>
      <c r="D45" s="132"/>
      <c r="E45" s="133"/>
      <c r="F45" s="94">
        <v>95</v>
      </c>
      <c r="G45" s="94">
        <f t="shared" si="4"/>
        <v>6.1453355185725256</v>
      </c>
      <c r="H45" s="146"/>
      <c r="I45" s="122"/>
      <c r="J45" s="122"/>
      <c r="K45" s="122"/>
    </row>
    <row r="46" spans="2:11" x14ac:dyDescent="0.2">
      <c r="B46" s="95"/>
      <c r="C46" s="155"/>
      <c r="D46" s="132"/>
      <c r="E46" s="133"/>
      <c r="F46" s="94">
        <v>100</v>
      </c>
      <c r="G46" s="94">
        <f t="shared" si="4"/>
        <v>6.1453424263599503</v>
      </c>
      <c r="H46" s="146"/>
      <c r="I46" s="122"/>
      <c r="J46" s="122"/>
      <c r="K46" s="122"/>
    </row>
    <row r="47" spans="2:11" x14ac:dyDescent="0.2">
      <c r="B47" s="95"/>
      <c r="C47" s="155"/>
      <c r="D47" s="132"/>
      <c r="E47" s="133"/>
      <c r="F47" s="94">
        <v>105</v>
      </c>
      <c r="G47" s="94">
        <f t="shared" si="4"/>
        <v>6.1453456312372214</v>
      </c>
      <c r="H47" s="146"/>
      <c r="I47" s="122"/>
      <c r="J47" s="122"/>
      <c r="K47" s="122"/>
    </row>
    <row r="48" spans="2:11" x14ac:dyDescent="0.2">
      <c r="B48" s="95"/>
      <c r="C48" s="156"/>
      <c r="D48" s="132"/>
      <c r="E48" s="133"/>
      <c r="F48" s="94">
        <v>110</v>
      </c>
      <c r="G48" s="94">
        <f t="shared" si="4"/>
        <v>6.1453471181436381</v>
      </c>
      <c r="H48" s="146"/>
      <c r="I48" s="122"/>
      <c r="J48" s="122"/>
      <c r="K48" s="122"/>
    </row>
    <row r="49" spans="2:11" x14ac:dyDescent="0.2">
      <c r="B49" s="95"/>
      <c r="C49" s="156"/>
      <c r="D49" s="132"/>
      <c r="E49" s="133"/>
      <c r="F49" s="94">
        <v>115</v>
      </c>
      <c r="G49" s="94">
        <f t="shared" si="4"/>
        <v>6.1453478079953916</v>
      </c>
      <c r="H49" s="146"/>
      <c r="I49" s="122"/>
      <c r="J49" s="122"/>
      <c r="K49" s="122"/>
    </row>
    <row r="50" spans="2:11" x14ac:dyDescent="0.2">
      <c r="B50" s="95"/>
      <c r="C50" s="156"/>
      <c r="D50" s="132"/>
      <c r="E50" s="133"/>
      <c r="F50" s="94">
        <v>120</v>
      </c>
      <c r="G50" s="94">
        <f t="shared" si="4"/>
        <v>6.1453481280527855</v>
      </c>
      <c r="H50" s="146"/>
      <c r="I50" s="122"/>
      <c r="J50" s="122"/>
      <c r="K50" s="122"/>
    </row>
    <row r="51" spans="2:11" x14ac:dyDescent="0.2">
      <c r="B51" s="95"/>
      <c r="C51" s="156"/>
      <c r="D51" s="132"/>
      <c r="E51" s="133"/>
      <c r="F51" s="94">
        <v>125</v>
      </c>
      <c r="G51" s="94">
        <f t="shared" si="4"/>
        <v>6.145348276543718</v>
      </c>
      <c r="H51" s="4"/>
      <c r="I51" s="122"/>
      <c r="J51" s="122"/>
      <c r="K51" s="122"/>
    </row>
    <row r="52" spans="2:11" x14ac:dyDescent="0.2">
      <c r="B52" s="95"/>
      <c r="C52" s="156"/>
      <c r="D52" s="132"/>
      <c r="E52" s="133"/>
      <c r="F52" s="94">
        <v>130</v>
      </c>
      <c r="G52" s="94">
        <f t="shared" si="4"/>
        <v>6.1453483454362265</v>
      </c>
      <c r="H52" s="4"/>
      <c r="I52" s="122"/>
      <c r="J52" s="122"/>
      <c r="K52" s="122"/>
    </row>
    <row r="53" spans="2:11" x14ac:dyDescent="0.2">
      <c r="B53" s="95"/>
      <c r="C53" s="156"/>
      <c r="D53" s="132"/>
      <c r="E53" s="133"/>
      <c r="F53" s="94">
        <v>135</v>
      </c>
      <c r="G53" s="94">
        <f t="shared" si="4"/>
        <v>6.1453483773989701</v>
      </c>
      <c r="H53" s="4"/>
      <c r="I53" s="122"/>
      <c r="J53" s="122"/>
      <c r="K53" s="122"/>
    </row>
    <row r="54" spans="2:11" x14ac:dyDescent="0.2">
      <c r="B54" s="95"/>
      <c r="C54" s="156"/>
      <c r="D54" s="132"/>
      <c r="E54" s="133"/>
      <c r="F54" s="94">
        <v>140</v>
      </c>
      <c r="G54" s="94">
        <f t="shared" si="4"/>
        <v>6.1453483922281151</v>
      </c>
      <c r="H54" s="4"/>
      <c r="I54" s="122"/>
      <c r="J54" s="122"/>
      <c r="K54" s="122"/>
    </row>
    <row r="55" spans="2:11" x14ac:dyDescent="0.2">
      <c r="B55" s="95"/>
      <c r="C55" s="156"/>
      <c r="D55" s="132"/>
      <c r="E55" s="133"/>
      <c r="F55" s="94">
        <v>145</v>
      </c>
      <c r="G55" s="94">
        <f t="shared" si="4"/>
        <v>6.1453483991081113</v>
      </c>
      <c r="H55" s="4"/>
      <c r="I55" s="122"/>
      <c r="J55" s="122"/>
      <c r="K55" s="122"/>
    </row>
    <row r="56" spans="2:11" x14ac:dyDescent="0.2">
      <c r="B56" s="104"/>
      <c r="C56" s="156"/>
      <c r="D56" s="132"/>
      <c r="E56" s="133"/>
      <c r="F56" s="94">
        <v>150</v>
      </c>
      <c r="G56" s="94">
        <f t="shared" si="4"/>
        <v>6.1453484023000913</v>
      </c>
      <c r="H56" s="4"/>
      <c r="I56" s="122"/>
      <c r="J56" s="122"/>
      <c r="K56" s="122"/>
    </row>
    <row r="57" spans="2:11" x14ac:dyDescent="0.2">
      <c r="B57" s="104"/>
      <c r="C57" s="156"/>
      <c r="D57" s="132"/>
      <c r="E57" s="133"/>
      <c r="F57" s="94">
        <v>155</v>
      </c>
      <c r="G57" s="94">
        <f t="shared" si="4"/>
        <v>6.1453484037810133</v>
      </c>
      <c r="H57" s="4"/>
      <c r="I57" s="122"/>
      <c r="J57" s="122"/>
      <c r="K57" s="122"/>
    </row>
    <row r="58" spans="2:11" x14ac:dyDescent="0.2">
      <c r="B58" s="104"/>
      <c r="C58" s="156"/>
      <c r="D58" s="132"/>
      <c r="E58" s="133"/>
      <c r="F58" s="94">
        <v>160</v>
      </c>
      <c r="G58" s="94">
        <f t="shared" si="4"/>
        <v>6.1453484044680895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165</v>
      </c>
      <c r="G59" s="94">
        <f t="shared" si="4"/>
        <v>6.1453484047868585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170</v>
      </c>
      <c r="G60" s="94">
        <f t="shared" si="4"/>
        <v>6.1453484049347518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04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04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04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04"/>
      <c r="C66" s="94"/>
      <c r="D66" s="94"/>
      <c r="E66" s="95"/>
      <c r="F66" s="95"/>
      <c r="G66" s="4"/>
      <c r="H66" s="122"/>
      <c r="I66" s="122"/>
      <c r="J66" s="122"/>
    </row>
    <row r="67" spans="2:12" x14ac:dyDescent="0.2">
      <c r="B67" s="104"/>
      <c r="C67" s="94"/>
      <c r="D67" s="94"/>
      <c r="E67" s="95"/>
      <c r="F67" s="95"/>
      <c r="G67" s="4"/>
      <c r="H67" s="122"/>
      <c r="I67" s="122"/>
      <c r="J67" s="122"/>
    </row>
    <row r="68" spans="2:12" x14ac:dyDescent="0.2">
      <c r="B68" s="122"/>
      <c r="C68" s="94"/>
      <c r="D68" s="94"/>
      <c r="E68" s="95"/>
      <c r="F68" s="95"/>
      <c r="G68" s="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5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5"/>
      <c r="G70" s="103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5"/>
      <c r="G71" s="103"/>
      <c r="I71" s="122"/>
      <c r="J71" s="122"/>
    </row>
    <row r="72" spans="2:12" s="4" customFormat="1" x14ac:dyDescent="0.2">
      <c r="B72" s="122"/>
      <c r="C72" s="94"/>
      <c r="D72" s="94"/>
      <c r="E72" s="95"/>
      <c r="F72" s="95"/>
      <c r="G72" s="103"/>
    </row>
    <row r="73" spans="2:12" s="4" customFormat="1" x14ac:dyDescent="0.2">
      <c r="B73" s="122"/>
      <c r="C73" s="94"/>
      <c r="D73" s="94"/>
      <c r="E73" s="95"/>
      <c r="F73" s="95"/>
      <c r="G73" s="103"/>
    </row>
    <row r="74" spans="2:12" s="4" customFormat="1" x14ac:dyDescent="0.2">
      <c r="B74" s="122"/>
      <c r="C74" s="94"/>
      <c r="D74" s="94"/>
      <c r="E74" s="95"/>
      <c r="F74" s="95"/>
      <c r="G74" s="103"/>
    </row>
    <row r="75" spans="2:12" s="4" customFormat="1" x14ac:dyDescent="0.2">
      <c r="B75" s="122"/>
      <c r="C75" s="94"/>
      <c r="D75" s="94"/>
      <c r="E75" s="95"/>
      <c r="F75" s="95"/>
      <c r="G75" s="103"/>
    </row>
    <row r="76" spans="2:12" s="4" customFormat="1" x14ac:dyDescent="0.2">
      <c r="B76" s="122"/>
      <c r="C76" s="94"/>
      <c r="D76" s="94"/>
      <c r="E76" s="95"/>
      <c r="F76" s="95"/>
      <c r="G76" s="103"/>
    </row>
    <row r="77" spans="2:12" s="4" customFormat="1" x14ac:dyDescent="0.2">
      <c r="B77" s="82"/>
      <c r="C77" s="94"/>
      <c r="D77" s="94"/>
      <c r="E77" s="95"/>
      <c r="F77" s="95"/>
      <c r="G77" s="103"/>
    </row>
    <row r="78" spans="2:12" s="4" customFormat="1" x14ac:dyDescent="0.2">
      <c r="B78" s="82"/>
      <c r="C78" s="94"/>
      <c r="D78" s="94"/>
      <c r="E78" s="95"/>
      <c r="F78" s="95"/>
      <c r="G78" s="103"/>
    </row>
    <row r="79" spans="2:12" s="4" customFormat="1" x14ac:dyDescent="0.2">
      <c r="B79" s="82"/>
      <c r="C79" s="94"/>
      <c r="D79" s="94"/>
      <c r="E79" s="95"/>
      <c r="F79" s="95"/>
      <c r="G79" s="103"/>
    </row>
    <row r="80" spans="2:12" s="4" customFormat="1" x14ac:dyDescent="0.2">
      <c r="B80" s="82"/>
      <c r="C80" s="94"/>
      <c r="D80" s="94"/>
      <c r="E80" s="95"/>
      <c r="F80" s="95"/>
      <c r="G80" s="103"/>
    </row>
    <row r="81" spans="2:7" s="4" customFormat="1" ht="13.5" customHeight="1" x14ac:dyDescent="0.2">
      <c r="B81" s="82"/>
      <c r="C81" s="94"/>
      <c r="D81" s="94"/>
      <c r="E81" s="95"/>
      <c r="F81" s="95"/>
      <c r="G81" s="103"/>
    </row>
    <row r="82" spans="2:7" s="4" customFormat="1" x14ac:dyDescent="0.2">
      <c r="B82" s="82"/>
      <c r="C82" s="94"/>
      <c r="D82" s="94"/>
      <c r="E82" s="95"/>
      <c r="F82" s="95"/>
      <c r="G82" s="103"/>
    </row>
    <row r="83" spans="2:7" s="4" customFormat="1" x14ac:dyDescent="0.2">
      <c r="B83" s="82"/>
      <c r="C83" s="94"/>
      <c r="D83" s="94"/>
      <c r="E83" s="95"/>
      <c r="F83" s="95"/>
      <c r="G83" s="103"/>
    </row>
    <row r="84" spans="2:7" s="4" customFormat="1" x14ac:dyDescent="0.2">
      <c r="B84" s="82"/>
      <c r="C84" s="94"/>
      <c r="D84" s="94"/>
      <c r="E84" s="95"/>
      <c r="F84" s="95"/>
      <c r="G84" s="103"/>
    </row>
    <row r="85" spans="2:7" s="4" customFormat="1" x14ac:dyDescent="0.2">
      <c r="B85" s="82"/>
      <c r="C85" s="94"/>
      <c r="D85" s="94"/>
      <c r="E85" s="95"/>
      <c r="F85" s="95"/>
      <c r="G85" s="103"/>
    </row>
    <row r="86" spans="2:7" s="4" customFormat="1" x14ac:dyDescent="0.2">
      <c r="B86" s="82"/>
      <c r="C86" s="94"/>
      <c r="D86" s="94"/>
      <c r="E86" s="95"/>
      <c r="F86" s="95"/>
      <c r="G86" s="103"/>
    </row>
    <row r="87" spans="2:7" s="4" customFormat="1" x14ac:dyDescent="0.2">
      <c r="B87" s="82"/>
      <c r="C87" s="94"/>
      <c r="D87" s="94"/>
      <c r="E87" s="95"/>
      <c r="F87" s="95"/>
      <c r="G87" s="103"/>
    </row>
    <row r="88" spans="2:7" s="4" customFormat="1" x14ac:dyDescent="0.2">
      <c r="B88" s="82"/>
      <c r="C88" s="94"/>
      <c r="D88" s="94"/>
      <c r="E88" s="95"/>
      <c r="F88" s="95"/>
      <c r="G88" s="103"/>
    </row>
    <row r="89" spans="2:7" s="4" customFormat="1" x14ac:dyDescent="0.2">
      <c r="B89" s="10"/>
      <c r="C89" s="94"/>
      <c r="D89" s="94"/>
      <c r="E89" s="95"/>
      <c r="F89" s="95"/>
      <c r="G89" s="103"/>
    </row>
    <row r="90" spans="2:7" s="4" customFormat="1" x14ac:dyDescent="0.2">
      <c r="B90" s="10"/>
      <c r="C90" s="10"/>
      <c r="D90" s="94"/>
      <c r="E90" s="95"/>
      <c r="F90" s="95"/>
      <c r="G90" s="103"/>
    </row>
    <row r="91" spans="2:7" s="4" customFormat="1" x14ac:dyDescent="0.2">
      <c r="B91" s="10"/>
      <c r="C91" s="10"/>
      <c r="D91" s="94"/>
      <c r="E91" s="95"/>
      <c r="F91" s="95"/>
      <c r="G91" s="103"/>
    </row>
    <row r="92" spans="2:7" s="4" customFormat="1" ht="13.5" customHeight="1" x14ac:dyDescent="0.2">
      <c r="B92" s="10"/>
      <c r="C92" s="10"/>
      <c r="D92" s="94"/>
      <c r="E92" s="95"/>
      <c r="F92" s="95"/>
      <c r="G92" s="103"/>
    </row>
    <row r="93" spans="2:7" s="4" customFormat="1" x14ac:dyDescent="0.2">
      <c r="B93" s="10"/>
      <c r="C93" s="10"/>
      <c r="D93" s="94"/>
      <c r="E93" s="95"/>
      <c r="F93" s="95"/>
      <c r="G93" s="103"/>
    </row>
    <row r="94" spans="2:7" s="4" customFormat="1" x14ac:dyDescent="0.2">
      <c r="B94" s="10"/>
      <c r="C94" s="10"/>
      <c r="D94" s="94"/>
      <c r="E94" s="95"/>
      <c r="F94" s="95"/>
      <c r="G94" s="103"/>
    </row>
    <row r="95" spans="2:7" s="4" customFormat="1" x14ac:dyDescent="0.2">
      <c r="B95" s="10"/>
      <c r="C95" s="10"/>
      <c r="D95" s="94"/>
      <c r="E95" s="95"/>
      <c r="F95" s="95"/>
      <c r="G95" s="103"/>
    </row>
    <row r="96" spans="2:7" s="4" customFormat="1" x14ac:dyDescent="0.2">
      <c r="B96" s="10"/>
      <c r="C96" s="10"/>
      <c r="D96" s="10"/>
      <c r="E96" s="10"/>
      <c r="F96" s="95"/>
      <c r="G96" s="103"/>
    </row>
    <row r="97" spans="2:12" s="4" customFormat="1" x14ac:dyDescent="0.2">
      <c r="B97" s="10"/>
      <c r="C97" s="10"/>
      <c r="D97" s="10"/>
      <c r="E97" s="10"/>
      <c r="F97" s="95"/>
      <c r="G97" s="103"/>
    </row>
    <row r="98" spans="2:12" s="4" customFormat="1" x14ac:dyDescent="0.2">
      <c r="B98" s="10"/>
      <c r="C98" s="10"/>
      <c r="D98" s="10"/>
      <c r="E98" s="10"/>
      <c r="F98" s="95"/>
      <c r="G98" s="103"/>
    </row>
    <row r="99" spans="2:12" s="4" customFormat="1" x14ac:dyDescent="0.2">
      <c r="B99" s="10"/>
      <c r="C99" s="10"/>
      <c r="D99" s="10"/>
      <c r="E99" s="10"/>
      <c r="F99" s="95"/>
      <c r="G99" s="103"/>
    </row>
    <row r="100" spans="2:12" s="4" customFormat="1" x14ac:dyDescent="0.2">
      <c r="B100" s="10"/>
      <c r="C100" s="10"/>
      <c r="D100" s="10"/>
      <c r="E100" s="10"/>
      <c r="F100" s="95"/>
      <c r="G100" s="103"/>
    </row>
    <row r="101" spans="2:12" s="4" customFormat="1" x14ac:dyDescent="0.2">
      <c r="B101" s="10"/>
      <c r="C101" s="10"/>
      <c r="D101" s="10"/>
      <c r="E101" s="10"/>
      <c r="F101" s="95"/>
      <c r="G101" s="103"/>
    </row>
    <row r="102" spans="2:12" s="4" customFormat="1" ht="13.5" customHeight="1" x14ac:dyDescent="0.2">
      <c r="B102" s="10"/>
      <c r="C102" s="10"/>
      <c r="D102" s="10"/>
      <c r="E102" s="10"/>
      <c r="F102" s="95"/>
      <c r="G102" s="103"/>
    </row>
    <row r="103" spans="2:12" x14ac:dyDescent="0.2">
      <c r="B103" s="10"/>
      <c r="C103" s="10"/>
      <c r="D103" s="10"/>
      <c r="E103" s="10"/>
      <c r="F103" s="95"/>
      <c r="G103" s="103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4"/>
      <c r="G104" s="103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4"/>
      <c r="G105" s="103"/>
      <c r="H105" s="4"/>
      <c r="I105" s="4"/>
      <c r="J105" s="4"/>
    </row>
    <row r="106" spans="2:12" x14ac:dyDescent="0.2">
      <c r="B106" s="10"/>
      <c r="C106" s="10"/>
      <c r="D106" s="10"/>
      <c r="E106" s="10"/>
      <c r="F106" s="4"/>
      <c r="G106" s="103"/>
      <c r="H106" s="4"/>
      <c r="I106" s="4"/>
      <c r="J106" s="4"/>
    </row>
    <row r="107" spans="2:12" x14ac:dyDescent="0.2">
      <c r="B107" s="10"/>
      <c r="C107" s="10"/>
      <c r="D107" s="10"/>
      <c r="E107" s="10"/>
      <c r="F107" s="4"/>
      <c r="G107" s="103"/>
    </row>
    <row r="108" spans="2:12" x14ac:dyDescent="0.2">
      <c r="B108" s="10"/>
      <c r="C108" s="10"/>
      <c r="D108" s="10"/>
      <c r="E108" s="10"/>
      <c r="F108" s="4"/>
      <c r="G108" s="103"/>
    </row>
    <row r="109" spans="2:12" x14ac:dyDescent="0.2">
      <c r="B109" s="10"/>
      <c r="C109" s="10"/>
      <c r="D109" s="10"/>
      <c r="E109" s="10"/>
      <c r="F109" s="4"/>
      <c r="G109" s="103"/>
    </row>
    <row r="110" spans="2:12" x14ac:dyDescent="0.2">
      <c r="B110" s="10"/>
      <c r="C110" s="10"/>
      <c r="D110" s="10"/>
      <c r="E110" s="10"/>
      <c r="F110" s="4"/>
      <c r="G110" s="103"/>
    </row>
    <row r="111" spans="2:12" x14ac:dyDescent="0.2">
      <c r="B111" s="10"/>
      <c r="C111" s="10"/>
      <c r="D111" s="10"/>
      <c r="E111" s="10"/>
      <c r="F111" s="4"/>
      <c r="G111" s="103"/>
    </row>
    <row r="112" spans="2:12" x14ac:dyDescent="0.2">
      <c r="B112" s="10"/>
      <c r="C112" s="10"/>
      <c r="D112" s="10"/>
      <c r="E112" s="10"/>
      <c r="F112" s="4"/>
      <c r="G112" s="103"/>
    </row>
    <row r="113" spans="2:7" x14ac:dyDescent="0.2">
      <c r="B113" s="10"/>
      <c r="C113" s="10"/>
      <c r="D113" s="10"/>
      <c r="E113" s="10"/>
      <c r="F113" s="4"/>
      <c r="G113" s="103"/>
    </row>
    <row r="114" spans="2:7" x14ac:dyDescent="0.2">
      <c r="B114" s="10"/>
      <c r="C114" s="10"/>
      <c r="D114" s="10"/>
      <c r="E114" s="10"/>
      <c r="F114" s="4"/>
      <c r="G114" s="103"/>
    </row>
    <row r="115" spans="2:7" x14ac:dyDescent="0.2">
      <c r="B115" s="10"/>
      <c r="C115" s="10"/>
      <c r="D115" s="10"/>
      <c r="E115" s="10"/>
      <c r="F115" s="4"/>
      <c r="G115" s="103"/>
    </row>
    <row r="116" spans="2:7" x14ac:dyDescent="0.2">
      <c r="B116" s="10"/>
      <c r="C116" s="10"/>
      <c r="D116" s="10"/>
      <c r="E116" s="10"/>
      <c r="F116" s="4"/>
      <c r="G116" s="103"/>
    </row>
    <row r="117" spans="2:7" x14ac:dyDescent="0.2">
      <c r="B117" s="10"/>
      <c r="C117" s="10"/>
      <c r="D117" s="10"/>
      <c r="E117" s="10"/>
      <c r="F117" s="4"/>
      <c r="G117" s="103"/>
    </row>
    <row r="118" spans="2:7" x14ac:dyDescent="0.2">
      <c r="B118" s="10"/>
      <c r="C118" s="10"/>
      <c r="D118" s="10"/>
      <c r="E118" s="10"/>
      <c r="F118" s="4"/>
      <c r="G118" s="103"/>
    </row>
    <row r="119" spans="2:7" x14ac:dyDescent="0.2">
      <c r="B119" s="10"/>
      <c r="C119" s="10"/>
      <c r="D119" s="10"/>
      <c r="E119" s="10"/>
      <c r="F119" s="4"/>
      <c r="G119" s="103"/>
    </row>
    <row r="120" spans="2:7" x14ac:dyDescent="0.2">
      <c r="B120" s="10"/>
      <c r="C120" s="10"/>
      <c r="D120" s="10"/>
      <c r="E120" s="10"/>
      <c r="F120" s="4"/>
      <c r="G120" s="103"/>
    </row>
    <row r="121" spans="2:7" x14ac:dyDescent="0.2">
      <c r="B121" s="10"/>
      <c r="C121" s="10"/>
      <c r="D121" s="10"/>
      <c r="E121" s="10"/>
      <c r="F121" s="4"/>
      <c r="G121" s="103"/>
    </row>
    <row r="122" spans="2:7" x14ac:dyDescent="0.2">
      <c r="B122" s="10"/>
      <c r="C122" s="10"/>
      <c r="D122" s="10"/>
      <c r="E122" s="10"/>
      <c r="F122" s="4"/>
      <c r="G122" s="103"/>
    </row>
    <row r="123" spans="2:7" x14ac:dyDescent="0.2">
      <c r="B123" s="10"/>
      <c r="C123" s="10"/>
      <c r="D123" s="10"/>
      <c r="E123" s="10"/>
      <c r="F123" s="4"/>
      <c r="G123" s="103"/>
    </row>
    <row r="124" spans="2:7" x14ac:dyDescent="0.2">
      <c r="B124" s="10"/>
      <c r="C124" s="10"/>
      <c r="D124" s="10"/>
      <c r="E124" s="10"/>
      <c r="F124" s="4"/>
      <c r="G124" s="103"/>
    </row>
    <row r="125" spans="2:7" x14ac:dyDescent="0.2">
      <c r="B125" s="10"/>
      <c r="C125" s="10"/>
      <c r="D125" s="10"/>
      <c r="E125" s="10"/>
      <c r="F125" s="4"/>
      <c r="G125" s="103"/>
    </row>
    <row r="126" spans="2:7" x14ac:dyDescent="0.2">
      <c r="B126" s="10"/>
      <c r="C126" s="10"/>
      <c r="D126" s="10"/>
      <c r="E126" s="10"/>
      <c r="F126" s="4"/>
      <c r="G126" s="103"/>
    </row>
    <row r="127" spans="2:7" x14ac:dyDescent="0.2">
      <c r="B127" s="10"/>
      <c r="C127" s="10"/>
      <c r="D127" s="10"/>
      <c r="E127" s="10"/>
      <c r="F127" s="4"/>
      <c r="G127" s="103"/>
    </row>
    <row r="128" spans="2:7" x14ac:dyDescent="0.2">
      <c r="B128" s="10"/>
      <c r="C128" s="10"/>
      <c r="D128" s="10"/>
      <c r="E128" s="10"/>
      <c r="F128" s="4"/>
      <c r="G128" s="103"/>
    </row>
    <row r="129" spans="2:7" x14ac:dyDescent="0.2">
      <c r="B129" s="10"/>
      <c r="C129" s="10"/>
      <c r="D129" s="10"/>
      <c r="E129" s="10"/>
      <c r="F129" s="4"/>
      <c r="G129" s="103"/>
    </row>
    <row r="130" spans="2:7" x14ac:dyDescent="0.2">
      <c r="B130" s="10"/>
      <c r="C130" s="10"/>
      <c r="D130" s="10"/>
      <c r="E130" s="10"/>
      <c r="F130" s="4"/>
      <c r="G130" s="103"/>
    </row>
    <row r="131" spans="2:7" x14ac:dyDescent="0.2">
      <c r="B131" s="10"/>
      <c r="C131" s="10"/>
      <c r="D131" s="10"/>
      <c r="E131" s="10"/>
      <c r="F131" s="4"/>
      <c r="G131" s="103"/>
    </row>
    <row r="132" spans="2:7" x14ac:dyDescent="0.2">
      <c r="B132" s="10"/>
      <c r="C132" s="10"/>
      <c r="D132" s="10"/>
      <c r="E132" s="10"/>
      <c r="F132" s="4"/>
      <c r="G132" s="103"/>
    </row>
    <row r="133" spans="2:7" x14ac:dyDescent="0.2">
      <c r="B133" s="10"/>
      <c r="C133" s="10"/>
      <c r="D133" s="10"/>
      <c r="E133" s="10"/>
      <c r="F133" s="4"/>
      <c r="G133" s="103"/>
    </row>
    <row r="134" spans="2:7" x14ac:dyDescent="0.2">
      <c r="B134" s="10"/>
      <c r="C134" s="10"/>
      <c r="D134" s="10"/>
      <c r="E134" s="10"/>
      <c r="F134" s="4"/>
      <c r="G134" s="103"/>
    </row>
    <row r="135" spans="2:7" x14ac:dyDescent="0.2">
      <c r="B135" s="10"/>
      <c r="C135" s="10"/>
      <c r="D135" s="10"/>
      <c r="E135" s="10"/>
      <c r="F135" s="4"/>
      <c r="G135" s="103"/>
    </row>
    <row r="136" spans="2:7" x14ac:dyDescent="0.2">
      <c r="B136" s="10"/>
      <c r="C136" s="10"/>
      <c r="D136" s="10"/>
      <c r="E136" s="10"/>
      <c r="F136" s="4"/>
      <c r="G136" s="103"/>
    </row>
    <row r="137" spans="2:7" x14ac:dyDescent="0.2">
      <c r="B137" s="10"/>
      <c r="C137" s="10"/>
      <c r="D137" s="10"/>
      <c r="E137" s="10"/>
      <c r="F137" s="4"/>
      <c r="G137" s="103"/>
    </row>
    <row r="138" spans="2:7" x14ac:dyDescent="0.2">
      <c r="B138" s="10"/>
      <c r="C138" s="10"/>
      <c r="D138" s="10"/>
      <c r="E138" s="10"/>
      <c r="F138" s="4"/>
      <c r="G138" s="103"/>
    </row>
    <row r="139" spans="2:7" x14ac:dyDescent="0.2">
      <c r="B139" s="10"/>
      <c r="C139" s="10"/>
      <c r="D139" s="10"/>
      <c r="E139" s="10"/>
      <c r="F139" s="4"/>
      <c r="G139" s="103"/>
    </row>
    <row r="140" spans="2:7" x14ac:dyDescent="0.2">
      <c r="B140" s="10"/>
      <c r="C140" s="10"/>
      <c r="D140" s="10"/>
      <c r="E140" s="10"/>
      <c r="F140" s="4"/>
      <c r="G140" s="103"/>
    </row>
    <row r="141" spans="2:7" x14ac:dyDescent="0.2">
      <c r="B141" s="10"/>
      <c r="C141" s="10"/>
      <c r="D141" s="10"/>
      <c r="E141" s="10"/>
      <c r="F141" s="4"/>
      <c r="G141" s="103"/>
    </row>
    <row r="142" spans="2:7" x14ac:dyDescent="0.2">
      <c r="B142" s="10"/>
      <c r="C142" s="10"/>
      <c r="D142" s="10"/>
      <c r="E142" s="10"/>
      <c r="F142" s="4"/>
      <c r="G142" s="103"/>
    </row>
    <row r="143" spans="2:7" x14ac:dyDescent="0.2">
      <c r="B143" s="10"/>
      <c r="C143" s="10"/>
      <c r="D143" s="10"/>
      <c r="E143" s="10"/>
      <c r="F143" s="4"/>
      <c r="G143" s="103"/>
    </row>
    <row r="144" spans="2:7" x14ac:dyDescent="0.2">
      <c r="B144" s="10"/>
      <c r="C144" s="10"/>
      <c r="D144" s="10"/>
      <c r="E144" s="10"/>
      <c r="F144" s="4"/>
      <c r="G144" s="103"/>
    </row>
    <row r="145" spans="2:7" x14ac:dyDescent="0.2">
      <c r="B145" s="10"/>
      <c r="C145" s="10"/>
      <c r="D145" s="10"/>
      <c r="E145" s="10"/>
      <c r="F145" s="4"/>
      <c r="G145" s="103"/>
    </row>
    <row r="146" spans="2:7" x14ac:dyDescent="0.2">
      <c r="B146" s="10"/>
      <c r="C146" s="10"/>
      <c r="D146" s="10"/>
      <c r="E146" s="10"/>
      <c r="F146" s="82"/>
      <c r="G146" s="103"/>
    </row>
    <row r="147" spans="2:7" x14ac:dyDescent="0.2">
      <c r="B147" s="10"/>
      <c r="C147" s="10"/>
      <c r="D147" s="10"/>
      <c r="E147" s="10"/>
      <c r="F147" s="82"/>
      <c r="G147" s="103"/>
    </row>
    <row r="148" spans="2:7" x14ac:dyDescent="0.2">
      <c r="B148" s="10"/>
      <c r="C148" s="10"/>
      <c r="D148" s="10"/>
      <c r="E148" s="10"/>
      <c r="F148" s="82"/>
      <c r="G148" s="103"/>
    </row>
    <row r="149" spans="2:7" x14ac:dyDescent="0.2">
      <c r="B149" s="10"/>
      <c r="C149" s="10"/>
      <c r="D149" s="10"/>
      <c r="E149" s="10"/>
      <c r="F149" s="82"/>
      <c r="G149" s="103"/>
    </row>
    <row r="150" spans="2:7" x14ac:dyDescent="0.2">
      <c r="B150" s="10"/>
      <c r="C150" s="10"/>
      <c r="D150" s="10"/>
      <c r="E150" s="10"/>
      <c r="F150" s="82"/>
      <c r="G150" s="103"/>
    </row>
    <row r="151" spans="2:7" x14ac:dyDescent="0.2">
      <c r="B151" s="10"/>
      <c r="C151" s="10"/>
      <c r="D151" s="10"/>
      <c r="E151" s="10"/>
      <c r="F151" s="82"/>
      <c r="G151" s="103"/>
    </row>
    <row r="152" spans="2:7" x14ac:dyDescent="0.2">
      <c r="B152" s="10"/>
      <c r="C152" s="10"/>
      <c r="D152" s="10"/>
      <c r="E152" s="10"/>
      <c r="F152" s="82"/>
      <c r="G152" s="103"/>
    </row>
    <row r="153" spans="2:7" x14ac:dyDescent="0.2">
      <c r="B153" s="10"/>
      <c r="C153" s="10"/>
      <c r="D153" s="10"/>
      <c r="E153" s="10"/>
      <c r="F153" s="82"/>
      <c r="G153" s="103"/>
    </row>
    <row r="154" spans="2:7" x14ac:dyDescent="0.2">
      <c r="B154" s="10"/>
      <c r="C154" s="10"/>
      <c r="D154" s="10"/>
      <c r="E154" s="10"/>
      <c r="F154" s="82"/>
      <c r="G154" s="103"/>
    </row>
    <row r="155" spans="2:7" x14ac:dyDescent="0.2">
      <c r="B155" s="10"/>
      <c r="C155" s="10"/>
      <c r="D155" s="10"/>
      <c r="E155" s="10"/>
      <c r="F155" s="82"/>
      <c r="G155" s="103"/>
    </row>
    <row r="156" spans="2:7" x14ac:dyDescent="0.2">
      <c r="B156" s="10"/>
      <c r="C156" s="10"/>
      <c r="D156" s="10"/>
      <c r="E156" s="10"/>
      <c r="F156" s="82"/>
      <c r="G156" s="103"/>
    </row>
    <row r="157" spans="2:7" x14ac:dyDescent="0.2">
      <c r="B157" s="10"/>
      <c r="C157" s="10"/>
      <c r="D157" s="10"/>
      <c r="E157" s="10"/>
      <c r="F157" s="82"/>
      <c r="G157" s="103"/>
    </row>
    <row r="158" spans="2:7" x14ac:dyDescent="0.2">
      <c r="B158" s="10"/>
      <c r="C158" s="10"/>
      <c r="D158" s="10"/>
      <c r="E158" s="10"/>
      <c r="F158" s="82"/>
      <c r="G158" s="103"/>
    </row>
    <row r="159" spans="2:7" x14ac:dyDescent="0.2">
      <c r="B159" s="10"/>
      <c r="C159" s="10"/>
      <c r="D159" s="10"/>
      <c r="E159" s="10"/>
      <c r="F159" s="82"/>
      <c r="G159" s="103"/>
    </row>
    <row r="160" spans="2:7" x14ac:dyDescent="0.2">
      <c r="B160" s="10"/>
      <c r="C160" s="10"/>
      <c r="D160" s="10"/>
      <c r="E160" s="10"/>
      <c r="F160" s="82"/>
      <c r="G160" s="103"/>
    </row>
    <row r="161" spans="2:8" x14ac:dyDescent="0.2">
      <c r="B161" s="10"/>
      <c r="C161" s="10"/>
      <c r="D161" s="10"/>
      <c r="E161" s="10"/>
      <c r="F161" s="82"/>
      <c r="G161" s="103"/>
    </row>
    <row r="162" spans="2:8" x14ac:dyDescent="0.2">
      <c r="B162" s="10"/>
      <c r="C162" s="10"/>
      <c r="D162" s="10"/>
      <c r="E162" s="10"/>
      <c r="F162" s="82"/>
      <c r="G162" s="103"/>
    </row>
    <row r="163" spans="2:8" x14ac:dyDescent="0.2">
      <c r="B163" s="10"/>
      <c r="C163" s="10"/>
      <c r="D163" s="10"/>
      <c r="E163" s="10"/>
      <c r="F163" s="82"/>
      <c r="G163" s="103"/>
    </row>
    <row r="164" spans="2:8" x14ac:dyDescent="0.2">
      <c r="B164" s="10"/>
      <c r="C164" s="10"/>
      <c r="D164" s="10"/>
      <c r="E164" s="10"/>
      <c r="F164" s="82"/>
      <c r="G164" s="103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2:14" x14ac:dyDescent="0.2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2:14" x14ac:dyDescent="0.2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2:14" x14ac:dyDescent="0.2"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2:14" x14ac:dyDescent="0.2"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2:14" x14ac:dyDescent="0.2"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2:14" x14ac:dyDescent="0.2"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2:14" x14ac:dyDescent="0.2"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2:14" x14ac:dyDescent="0.2"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2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2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2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2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2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2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2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2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E269" s="10"/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E270" s="10"/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E271" s="10"/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E272" s="10"/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5:21" x14ac:dyDescent="0.2"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5:21" x14ac:dyDescent="0.2"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5:21" x14ac:dyDescent="0.2"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5:21" x14ac:dyDescent="0.2"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5:21" x14ac:dyDescent="0.2"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5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5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5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5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5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5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5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5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5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5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5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73"/>
  <sheetViews>
    <sheetView zoomScaleNormal="100" workbookViewId="0">
      <selection activeCell="G33" sqref="G33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'183'!D8</f>
        <v>0.17641930558038721</v>
      </c>
      <c r="E2" s="2">
        <f>SUM(D3:D5)</f>
        <v>1.9883008442244803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'183'!D11</f>
        <v>5.7036817383960869</v>
      </c>
      <c r="D3" s="10">
        <f>$D$2*G43</f>
        <v>1.3496146747061847E-2</v>
      </c>
      <c r="E3" s="10"/>
      <c r="F3" s="11">
        <f>SQRT(D3)</f>
        <v>0.11617291744232752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'183'!D12</f>
        <v>0.32228397822242388</v>
      </c>
      <c r="D4" s="10">
        <f>$D$2*H44</f>
        <v>1.9750322901018326E-3</v>
      </c>
      <c r="E4" s="10"/>
      <c r="F4" s="11">
        <f>SQRT(D4)</f>
        <v>4.4441335377121971E-2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'183'!D13</f>
        <v>3.848498375713854</v>
      </c>
      <c r="D5" s="10">
        <f>$D$2*I45</f>
        <v>1.9728296651873165</v>
      </c>
      <c r="E5" s="10"/>
      <c r="F5" s="11">
        <f>SQRT(D5)</f>
        <v>1.4045745495299695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5.7036817383960864E-4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3.222839782224239E-5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3.8484983757138539E-4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'183'!B18</f>
        <v>0</v>
      </c>
      <c r="B22" s="4">
        <f>Q_LA($C$3,$C$4,$C$5,A22,$I$7)</f>
        <v>2.8792055570834595E-2</v>
      </c>
      <c r="C22" s="35">
        <f>Q_Lumax($C$3,$C$4,$C$5,A22,$I$8)</f>
        <v>-0.37888502735981172</v>
      </c>
      <c r="D22" s="36">
        <f>Q_Llameda($C$3,$C$4,$C$5,A22,$I$9)</f>
        <v>-3.1728887993670671E-2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</row>
    <row r="23" spans="1:49" ht="13.5" thickBot="1" x14ac:dyDescent="0.25">
      <c r="A23" s="34">
        <f>'183'!B19</f>
        <v>2.3333333334303461</v>
      </c>
      <c r="B23" s="4">
        <f t="shared" ref="B23:B43" si="0">Q_LA($C$3,$C$4,$C$5,A23,$I$7)</f>
        <v>5.821197116421252E-2</v>
      </c>
      <c r="C23" s="35">
        <f t="shared" ref="C23:C43" si="1">Q_Lumax($C$3,$C$4,$C$5,A23,$I$8)</f>
        <v>-0.45733584845027775</v>
      </c>
      <c r="D23" s="36">
        <f t="shared" ref="D23:D43" si="2">Q_Llameda($C$3,$C$4,$C$5,A23,$I$9)</f>
        <v>-9.7273625619739831E-2</v>
      </c>
      <c r="E23" s="37">
        <v>2</v>
      </c>
      <c r="F23" s="40">
        <v>1</v>
      </c>
      <c r="G23" s="42">
        <v>2.8792191884814241E-2</v>
      </c>
      <c r="H23" s="42">
        <v>5.8212011280266873E-2</v>
      </c>
      <c r="I23" s="42">
        <v>6.4813315702122745E-2</v>
      </c>
      <c r="J23" s="42">
        <v>5.0934547413982616E-2</v>
      </c>
      <c r="K23" s="42">
        <v>0.3647726660512573</v>
      </c>
      <c r="L23" s="42">
        <v>0.47216846960698228</v>
      </c>
      <c r="M23" s="42">
        <v>0.64824599393375104</v>
      </c>
      <c r="N23" s="42">
        <v>0.7233431626245852</v>
      </c>
      <c r="O23" s="42">
        <v>0.75422794878224098</v>
      </c>
      <c r="P23" s="42">
        <v>0.96275740382920127</v>
      </c>
      <c r="Q23" s="42">
        <v>0.97606213159219712</v>
      </c>
      <c r="R23" s="42">
        <v>0.98126981918495926</v>
      </c>
      <c r="S23" s="42">
        <v>0.98749973263445001</v>
      </c>
      <c r="T23" s="42">
        <v>0.99855303974509257</v>
      </c>
      <c r="U23" s="42">
        <v>0.99959561783385131</v>
      </c>
      <c r="V23" s="42">
        <v>0.99995206013986815</v>
      </c>
      <c r="W23" s="42">
        <v>0.99997124196345144</v>
      </c>
      <c r="X23" s="42">
        <v>0.99998337969747764</v>
      </c>
      <c r="Y23" s="42">
        <v>0.99998747718749592</v>
      </c>
      <c r="Z23" s="42">
        <v>0.9999897648679924</v>
      </c>
      <c r="AA23" s="42">
        <v>0.999999973859652</v>
      </c>
      <c r="AB23" s="42">
        <v>0.99999999876865198</v>
      </c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'183'!B20</f>
        <v>4.4166666667442769</v>
      </c>
      <c r="B24" s="4">
        <f t="shared" si="0"/>
        <v>6.4813309122869242E-2</v>
      </c>
      <c r="C24" s="35">
        <f t="shared" si="1"/>
        <v>0.31863210165690137</v>
      </c>
      <c r="D24" s="36">
        <f t="shared" si="2"/>
        <v>-0.18072959926728993</v>
      </c>
      <c r="E24" s="37">
        <v>3</v>
      </c>
      <c r="F24" s="43">
        <v>2</v>
      </c>
      <c r="G24" s="42">
        <v>-0.378887442394158</v>
      </c>
      <c r="H24" s="42">
        <v>-0.45733656648057158</v>
      </c>
      <c r="I24" s="42">
        <v>0.31863197035250157</v>
      </c>
      <c r="J24" s="42">
        <v>1.5706501836397189</v>
      </c>
      <c r="K24" s="42">
        <v>7.8009809707025068</v>
      </c>
      <c r="L24" s="42">
        <v>6.7694932565003825</v>
      </c>
      <c r="M24" s="42">
        <v>4.7833119750560016</v>
      </c>
      <c r="N24" s="42">
        <v>3.8498271170144469</v>
      </c>
      <c r="O24" s="42">
        <v>3.4527252194528608</v>
      </c>
      <c r="P24" s="42">
        <v>0.56791004756554841</v>
      </c>
      <c r="Q24" s="42">
        <v>0.36889636493100031</v>
      </c>
      <c r="R24" s="42">
        <v>0.29013679294982642</v>
      </c>
      <c r="S24" s="42">
        <v>0.19511769882499216</v>
      </c>
      <c r="T24" s="42">
        <v>2.3242879113138028E-2</v>
      </c>
      <c r="U24" s="42">
        <v>6.5688525320174388E-3</v>
      </c>
      <c r="V24" s="42">
        <v>7.8939191984514186E-4</v>
      </c>
      <c r="W24" s="42">
        <v>4.7476649089568348E-4</v>
      </c>
      <c r="X24" s="42">
        <v>2.7508828459299613E-4</v>
      </c>
      <c r="Y24" s="42">
        <v>2.075270779171865E-4</v>
      </c>
      <c r="Z24" s="42">
        <v>1.6976087168268125E-4</v>
      </c>
      <c r="AA24" s="42">
        <v>4.4121878824356541E-7</v>
      </c>
      <c r="AB24" s="42">
        <v>2.0917242990435111E-8</v>
      </c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'183'!B21</f>
        <v>5.9500000000116415</v>
      </c>
      <c r="B25" s="4">
        <f t="shared" si="0"/>
        <v>5.0934470449782096E-2</v>
      </c>
      <c r="C25" s="35">
        <f t="shared" si="1"/>
        <v>1.5706515656722235</v>
      </c>
      <c r="D25" s="36">
        <f t="shared" si="2"/>
        <v>-0.24086273827103835</v>
      </c>
      <c r="E25" s="37">
        <v>4</v>
      </c>
      <c r="F25" s="43">
        <v>3</v>
      </c>
      <c r="G25" s="42">
        <v>-3.1729004925600837E-2</v>
      </c>
      <c r="H25" s="42">
        <v>-9.7273515788969159E-2</v>
      </c>
      <c r="I25" s="42">
        <v>-0.18072904855040745</v>
      </c>
      <c r="J25" s="42">
        <v>-0.24086188342833961</v>
      </c>
      <c r="K25" s="42">
        <v>-0.15253002051314851</v>
      </c>
      <c r="L25" s="42">
        <v>-0.11751347820629268</v>
      </c>
      <c r="M25" s="42">
        <v>-6.8320427171046957E-2</v>
      </c>
      <c r="N25" s="42">
        <v>-5.0171754822102246E-2</v>
      </c>
      <c r="O25" s="42">
        <v>-4.3192631929558162E-2</v>
      </c>
      <c r="P25" s="42">
        <v>-4.4855096356819207E-3</v>
      </c>
      <c r="Q25" s="42">
        <v>-2.6937422594942666E-3</v>
      </c>
      <c r="R25" s="42">
        <v>-2.0341901049374033E-3</v>
      </c>
      <c r="S25" s="42">
        <v>-1.2842468584599958E-3</v>
      </c>
      <c r="T25" s="42">
        <v>-1.1592504700399305E-4</v>
      </c>
      <c r="U25" s="42">
        <v>-2.8728509284846303E-5</v>
      </c>
      <c r="V25" s="42">
        <v>-2.869093275624138E-6</v>
      </c>
      <c r="W25" s="42">
        <v>-1.6589361176956114E-6</v>
      </c>
      <c r="X25" s="42">
        <v>-9.2307589501535344E-7</v>
      </c>
      <c r="Y25" s="42">
        <v>-6.8241948466431298E-7</v>
      </c>
      <c r="Z25" s="42">
        <v>-5.5038005885215806E-7</v>
      </c>
      <c r="AA25" s="42">
        <v>-1.0131492480998376E-9</v>
      </c>
      <c r="AB25" s="42">
        <v>-4.1541427029150519E-11</v>
      </c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'183'!B22</f>
        <v>20.333333333430346</v>
      </c>
      <c r="B26" s="4">
        <f t="shared" si="0"/>
        <v>0.36477508409905468</v>
      </c>
      <c r="C26" s="35">
        <f t="shared" si="1"/>
        <v>7.800938188418737</v>
      </c>
      <c r="D26" s="36">
        <f t="shared" si="2"/>
        <v>-0.1525295929053983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'183'!B23</f>
        <v>22.416666666744277</v>
      </c>
      <c r="B27" s="4">
        <f t="shared" si="0"/>
        <v>0.4721710115001721</v>
      </c>
      <c r="C27" s="35">
        <f t="shared" si="1"/>
        <v>6.7694482821073354</v>
      </c>
      <c r="D27" s="36">
        <f t="shared" si="2"/>
        <v>-0.11751301253886656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'183'!B24</f>
        <v>26.416666666686069</v>
      </c>
      <c r="B28" s="4">
        <f t="shared" si="0"/>
        <v>0.64824836345758718</v>
      </c>
      <c r="C28" s="35">
        <f t="shared" si="1"/>
        <v>4.7832700511953101</v>
      </c>
      <c r="D28" s="36">
        <f t="shared" si="2"/>
        <v>-6.8320011555052906E-2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'183'!B25</f>
        <v>28.583333333430346</v>
      </c>
      <c r="B29" s="4">
        <f t="shared" si="0"/>
        <v>0.72334530771854266</v>
      </c>
      <c r="C29" s="35">
        <f t="shared" si="1"/>
        <v>3.849789164783775</v>
      </c>
      <c r="D29" s="36">
        <f t="shared" si="2"/>
        <v>-5.0171394751421197E-2</v>
      </c>
      <c r="E29" s="37">
        <v>8</v>
      </c>
    </row>
    <row r="30" spans="1:49" ht="13.5" thickBot="1" x14ac:dyDescent="0.25">
      <c r="A30" s="34">
        <f>'183'!B26</f>
        <v>29.616666666639503</v>
      </c>
      <c r="B30" s="4">
        <f t="shared" si="0"/>
        <v>0.75422997205577791</v>
      </c>
      <c r="C30" s="35">
        <f t="shared" si="1"/>
        <v>3.4526894229551388</v>
      </c>
      <c r="D30" s="36">
        <f t="shared" si="2"/>
        <v>-4.3192299945964616E-2</v>
      </c>
      <c r="E30" s="37">
        <v>9</v>
      </c>
      <c r="J30" s="48"/>
      <c r="K30" s="49"/>
      <c r="L30" s="49"/>
    </row>
    <row r="31" spans="1:49" ht="13.5" thickBot="1" x14ac:dyDescent="0.25">
      <c r="A31" s="34">
        <f>'183'!B27</f>
        <v>44.666666666627862</v>
      </c>
      <c r="B31" s="4">
        <f t="shared" si="0"/>
        <v>0.96275795706786371</v>
      </c>
      <c r="C31" s="35">
        <f t="shared" si="1"/>
        <v>0.56790026153221007</v>
      </c>
      <c r="D31" s="36">
        <f t="shared" si="2"/>
        <v>-4.4854443726381615E-3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'183'!B28</f>
        <v>48</v>
      </c>
      <c r="B32" s="4">
        <f t="shared" si="0"/>
        <v>0.97606252112170533</v>
      </c>
      <c r="C32" s="35">
        <f t="shared" si="1"/>
        <v>0.36888947496179753</v>
      </c>
      <c r="D32" s="36">
        <f t="shared" si="2"/>
        <v>-2.6936991718657438E-3</v>
      </c>
      <c r="E32" s="37">
        <v>11</v>
      </c>
      <c r="F32" s="50"/>
      <c r="G32" s="13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'183'!B29</f>
        <v>49.833333333372138</v>
      </c>
      <c r="B33" s="4">
        <f t="shared" si="0"/>
        <v>0.98127013852107103</v>
      </c>
      <c r="C33" s="35">
        <f t="shared" si="1"/>
        <v>0.29013114470804013</v>
      </c>
      <c r="D33" s="36">
        <f t="shared" si="2"/>
        <v>-2.0341559626426194E-3</v>
      </c>
      <c r="E33" s="37">
        <v>12</v>
      </c>
      <c r="F33" s="52">
        <v>1</v>
      </c>
      <c r="G33" s="53">
        <f t="array" ref="G33:I35">MMULT(G23:AB25,B22:D43)</f>
        <v>14.693043724324417</v>
      </c>
      <c r="H33" s="54">
        <v>16.010451199259329</v>
      </c>
      <c r="I33" s="55">
        <v>-0.2652016651606372</v>
      </c>
      <c r="J33" s="48"/>
      <c r="K33" s="48"/>
      <c r="L33" s="48"/>
    </row>
    <row r="34" spans="1:12" ht="13.5" thickBot="1" x14ac:dyDescent="0.25">
      <c r="A34" s="34">
        <f>'183'!B30</f>
        <v>52.833333333372138</v>
      </c>
      <c r="B34" s="4">
        <f t="shared" si="0"/>
        <v>0.98749996160311782</v>
      </c>
      <c r="C34" s="35">
        <f t="shared" si="1"/>
        <v>0.19511364912223006</v>
      </c>
      <c r="D34" s="36">
        <f t="shared" si="2"/>
        <v>-1.2842236502500937E-3</v>
      </c>
      <c r="E34" s="37">
        <v>13</v>
      </c>
      <c r="F34" s="62">
        <v>2</v>
      </c>
      <c r="G34" s="56">
        <v>16.010659275863308</v>
      </c>
      <c r="H34" s="57">
        <v>159.80540052840499</v>
      </c>
      <c r="I34" s="58">
        <v>-3.0382358052520715</v>
      </c>
      <c r="J34" s="48"/>
      <c r="K34" s="48"/>
      <c r="L34" s="48"/>
    </row>
    <row r="35" spans="1:12" ht="13.5" thickBot="1" x14ac:dyDescent="0.25">
      <c r="A35" s="34">
        <f>'183'!B31</f>
        <v>68.500000000116415</v>
      </c>
      <c r="B35" s="4">
        <f t="shared" si="0"/>
        <v>0.99855307579768227</v>
      </c>
      <c r="C35" s="35">
        <f t="shared" si="1"/>
        <v>2.3242241598804472E-2</v>
      </c>
      <c r="D35" s="36">
        <f t="shared" si="2"/>
        <v>-1.1592217682705471E-4</v>
      </c>
      <c r="E35" s="37">
        <v>14</v>
      </c>
      <c r="F35" s="63">
        <v>3</v>
      </c>
      <c r="G35" s="59">
        <v>-0.2652039052154771</v>
      </c>
      <c r="H35" s="60">
        <v>-3.0382276677240232</v>
      </c>
      <c r="I35" s="61">
        <v>0.14730492511745355</v>
      </c>
      <c r="J35" s="48"/>
      <c r="K35" s="48"/>
      <c r="L35" s="48"/>
    </row>
    <row r="36" spans="1:12" ht="13.5" thickBot="1" x14ac:dyDescent="0.25">
      <c r="A36" s="34">
        <f>'183'!B32</f>
        <v>77.583333333372138</v>
      </c>
      <c r="B36" s="4">
        <f t="shared" si="0"/>
        <v>0.99959562945819391</v>
      </c>
      <c r="C36" s="35">
        <f t="shared" si="1"/>
        <v>6.5686470467320639E-3</v>
      </c>
      <c r="D36" s="36">
        <f t="shared" si="2"/>
        <v>-2.8727687885305159E-5</v>
      </c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>
        <f>'183'!B33</f>
        <v>92.583333333372138</v>
      </c>
      <c r="B37" s="4">
        <f t="shared" si="0"/>
        <v>0.99995206182049468</v>
      </c>
      <c r="C37" s="35">
        <f t="shared" si="1"/>
        <v>7.8936218885064773E-4</v>
      </c>
      <c r="D37" s="36">
        <f t="shared" si="2"/>
        <v>-2.8689940575018402E-6</v>
      </c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>
        <f>'183'!B34</f>
        <v>96.149999999965075</v>
      </c>
      <c r="B38" s="4">
        <f t="shared" si="0"/>
        <v>0.99997124301650775</v>
      </c>
      <c r="C38" s="35">
        <f t="shared" si="1"/>
        <v>4.7474788312819527E-4</v>
      </c>
      <c r="D38" s="36">
        <f t="shared" si="2"/>
        <v>-1.6588761248208451E-6</v>
      </c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>
        <f>'183'!B35</f>
        <v>99.966666666674428</v>
      </c>
      <c r="B39" s="4">
        <f t="shared" si="0"/>
        <v>0.99998338033262069</v>
      </c>
      <c r="C39" s="35">
        <f t="shared" si="1"/>
        <v>2.7507707448504648E-4</v>
      </c>
      <c r="D39" s="36">
        <f t="shared" si="2"/>
        <v>-9.2304128350760083E-7</v>
      </c>
      <c r="E39" s="37">
        <v>18</v>
      </c>
    </row>
    <row r="40" spans="1:12" ht="13.5" thickBot="1" x14ac:dyDescent="0.25">
      <c r="A40" s="34">
        <f>'183'!B36</f>
        <v>101.93333333329065</v>
      </c>
      <c r="B40" s="4">
        <f t="shared" si="0"/>
        <v>0.9999874776765908</v>
      </c>
      <c r="C40" s="35">
        <f t="shared" si="1"/>
        <v>2.0751844661790527E-4</v>
      </c>
      <c r="D40" s="36">
        <f t="shared" si="2"/>
        <v>-6.8239179507269407E-7</v>
      </c>
      <c r="E40" s="37">
        <v>19</v>
      </c>
      <c r="K40" s="64"/>
      <c r="L40" s="64"/>
    </row>
    <row r="41" spans="1:12" ht="13.5" thickBot="1" x14ac:dyDescent="0.25">
      <c r="A41" s="34">
        <f>'183'!B37</f>
        <v>103.33333333331393</v>
      </c>
      <c r="B41" s="4">
        <f t="shared" si="0"/>
        <v>0.99998976527318195</v>
      </c>
      <c r="C41" s="35">
        <f t="shared" si="1"/>
        <v>1.6975371960906602E-4</v>
      </c>
      <c r="D41" s="36">
        <f t="shared" si="2"/>
        <v>-5.5035698406660006E-7</v>
      </c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>
        <f>'183'!B38</f>
        <v>144.33333333337214</v>
      </c>
      <c r="B42" s="4">
        <f t="shared" si="0"/>
        <v>0.99999997385923112</v>
      </c>
      <c r="C42" s="35">
        <f t="shared" si="1"/>
        <v>4.411624872256944E-7</v>
      </c>
      <c r="D42" s="36">
        <f t="shared" si="2"/>
        <v>-1.0154571121406964E-9</v>
      </c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>
        <f>'183'!B39</f>
        <v>165.08333333343035</v>
      </c>
      <c r="B43" s="4">
        <f t="shared" si="0"/>
        <v>0.99999999876823309</v>
      </c>
      <c r="C43" s="35">
        <f t="shared" si="1"/>
        <v>2.0917186894321716E-8</v>
      </c>
      <c r="D43" s="36">
        <f t="shared" si="2"/>
        <v>-4.154142731484667E-11</v>
      </c>
      <c r="E43" s="37">
        <v>22</v>
      </c>
      <c r="F43" s="71">
        <v>1</v>
      </c>
      <c r="G43" s="72">
        <f t="array" ref="G43:I45">MINVERSE(G33:I35)</f>
        <v>7.6500396046010929E-2</v>
      </c>
      <c r="H43" s="73">
        <v>-8.3009314797985248E-3</v>
      </c>
      <c r="I43" s="74">
        <v>-3.3482619933345219E-2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-8.3010474220742252E-3</v>
      </c>
      <c r="H44" s="76">
        <v>1.1195102959986936E-2</v>
      </c>
      <c r="I44" s="77">
        <v>0.2159595888069529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-3.3483389390881559E-2</v>
      </c>
      <c r="H45" s="76">
        <v>0.21595905286478098</v>
      </c>
      <c r="I45" s="78">
        <v>11.182617790593088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DEVSQ(D18:D91)</f>
        <v>72.488252547386907</v>
      </c>
      <c r="D6" s="126">
        <f>SUM(E18:E91)</f>
        <v>3.0056902294858281</v>
      </c>
      <c r="E6" s="111">
        <f>$C$6-$D$6</f>
        <v>69.482562317901085</v>
      </c>
      <c r="F6" s="112">
        <f>$E$6/$C$6</f>
        <v>0.9585354850771034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0.97904825472348578</v>
      </c>
      <c r="D8" s="2">
        <f>D6/(COUNT(E18:E58)-COUNT(D11:D13)-1)</f>
        <v>0.17680530761681343</v>
      </c>
      <c r="E8" s="2">
        <f>(E6/1)</f>
        <v>69.482562317901085</v>
      </c>
      <c r="F8" s="2">
        <f>E8/D8</f>
        <v>392.98912037465095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1.7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2.5" customHeight="1" thickBot="1" x14ac:dyDescent="0.25">
      <c r="C11" s="8" t="s">
        <v>4</v>
      </c>
      <c r="D11" s="170">
        <v>5.5578053980165407</v>
      </c>
      <c r="E11" s="162">
        <f>ERROS_1202!F3</f>
        <v>0.11962766215226094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2.5" customHeight="1" thickBot="1" x14ac:dyDescent="0.25">
      <c r="C12" s="8" t="s">
        <v>6</v>
      </c>
      <c r="D12" s="161">
        <v>0.2801840436239566</v>
      </c>
      <c r="E12" s="162">
        <f>ERROS_1202!F4</f>
        <v>4.0589478255651443E-2</v>
      </c>
      <c r="F12" s="2">
        <f>('1239'!$D12-D12)/'1239'!$D12</f>
        <v>0.18777465519020042</v>
      </c>
      <c r="H12" s="82"/>
      <c r="I12" s="82"/>
      <c r="J12" s="82"/>
      <c r="K12" s="82"/>
      <c r="N12" s="23"/>
      <c r="O12" s="23"/>
      <c r="P12" s="23"/>
      <c r="Q12" s="86"/>
    </row>
    <row r="13" spans="2:17" ht="22.5" customHeight="1" thickBot="1" x14ac:dyDescent="0.25">
      <c r="C13" s="13" t="s">
        <v>5</v>
      </c>
      <c r="D13" s="170">
        <v>5.2386852094652747</v>
      </c>
      <c r="E13" s="162">
        <f>ERROS_1202!F5</f>
        <v>2.4257190301698865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 t="s">
        <v>35</v>
      </c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</row>
    <row r="16" spans="2:17" ht="16.5" customHeight="1" thickBot="1" x14ac:dyDescent="0.25">
      <c r="B16" s="92" t="s">
        <v>34</v>
      </c>
      <c r="C16" s="120"/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20"/>
      <c r="H17" s="100"/>
      <c r="I17" s="102"/>
      <c r="K17" s="4"/>
      <c r="L17" s="4"/>
      <c r="M17" s="4"/>
    </row>
    <row r="18" spans="2:15" ht="13.5" customHeight="1" x14ac:dyDescent="0.2">
      <c r="B18" s="136">
        <v>0</v>
      </c>
      <c r="C18" s="158">
        <v>0.47416666666666663</v>
      </c>
      <c r="D18" s="132">
        <f>$C$18+$D$11*EXP(-EXP(($D$12*EXP(1))/$D$11*($D$13-B18)+1))</f>
        <v>0.49528646265454879</v>
      </c>
      <c r="E18" s="133">
        <f t="shared" ref="E18" si="0">(C18-D18)^2</f>
        <v>4.4604578256976344E-4</v>
      </c>
      <c r="F18" s="94">
        <v>0</v>
      </c>
      <c r="G18" s="94">
        <f>$C$18+$D$11*EXP(-EXP(($D$12*EXP(1))/$D$11*($D$13-F18)+1))</f>
        <v>0.49528646265454879</v>
      </c>
      <c r="H18" s="95"/>
      <c r="I18" s="95"/>
      <c r="J18" s="2">
        <v>0.57254373418181048</v>
      </c>
      <c r="K18" s="4"/>
      <c r="L18" s="4"/>
      <c r="M18" s="4"/>
      <c r="N18" s="122"/>
      <c r="O18" s="122"/>
    </row>
    <row r="19" spans="2:15" ht="13.5" customHeight="1" x14ac:dyDescent="0.2">
      <c r="B19" s="136">
        <v>2.3333333334303461</v>
      </c>
      <c r="C19" s="158">
        <v>0.4466666666666666</v>
      </c>
      <c r="D19" s="132">
        <f t="shared" ref="D19:D32" si="1">$C$18+$D$11*EXP(-EXP(($D$12*EXP(1))/$D$11*($D$13-B19)+1))</f>
        <v>0.57122417537111259</v>
      </c>
      <c r="E19" s="133">
        <f t="shared" ref="E19" si="2">(C19-D19)^2</f>
        <v>1.5514572974658138E-2</v>
      </c>
      <c r="F19" s="94">
        <v>1</v>
      </c>
      <c r="G19" s="94">
        <f t="shared" ref="G19:G82" si="3">$C$18+$D$11*EXP(-EXP(($D$12*EXP(1))/$D$11*($D$13-F19)+1))</f>
        <v>0.51728133071423243</v>
      </c>
      <c r="H19" s="95"/>
      <c r="I19" s="95"/>
      <c r="J19" s="95">
        <v>0.63118725605898052</v>
      </c>
      <c r="K19" s="150"/>
      <c r="L19" s="150"/>
      <c r="M19" s="150"/>
      <c r="N19" s="4"/>
    </row>
    <row r="20" spans="2:15" x14ac:dyDescent="0.2">
      <c r="B20" s="136">
        <v>4.4166666667442769</v>
      </c>
      <c r="C20" s="158">
        <v>0.505</v>
      </c>
      <c r="D20" s="132">
        <f t="shared" si="1"/>
        <v>0.73938684838546365</v>
      </c>
      <c r="E20" s="133">
        <f t="shared" ref="E20:E32" si="4">(C20-D20)^2</f>
        <v>5.4937194696070321E-2</v>
      </c>
      <c r="F20" s="94">
        <v>2</v>
      </c>
      <c r="G20" s="94">
        <f t="shared" si="3"/>
        <v>0.55449516185582182</v>
      </c>
      <c r="H20" s="95"/>
      <c r="I20" s="95"/>
      <c r="J20" s="95">
        <v>0.7115739835827195</v>
      </c>
      <c r="K20" s="147"/>
      <c r="L20" s="147"/>
      <c r="M20" s="147"/>
      <c r="N20" s="122"/>
    </row>
    <row r="21" spans="2:15" x14ac:dyDescent="0.2">
      <c r="B21" s="136"/>
      <c r="C21" s="158"/>
      <c r="D21" s="132"/>
      <c r="E21" s="133"/>
      <c r="F21" s="94">
        <v>3</v>
      </c>
      <c r="G21" s="94">
        <f t="shared" si="3"/>
        <v>0.61236615162495001</v>
      </c>
      <c r="H21" s="95"/>
      <c r="I21" s="95"/>
      <c r="J21" s="95">
        <v>0.81632869297630617</v>
      </c>
      <c r="K21" s="147"/>
      <c r="L21" s="124"/>
      <c r="M21" s="124"/>
      <c r="N21" s="122"/>
    </row>
    <row r="22" spans="2:15" x14ac:dyDescent="0.2">
      <c r="B22" s="136">
        <v>20.333333333430346</v>
      </c>
      <c r="C22" s="158">
        <v>5.0233333333333334</v>
      </c>
      <c r="D22" s="132">
        <f t="shared" si="1"/>
        <v>4.4161469008250505</v>
      </c>
      <c r="E22" s="133">
        <f t="shared" si="4"/>
        <v>0.36867536382213567</v>
      </c>
      <c r="F22" s="94">
        <v>4</v>
      </c>
      <c r="G22" s="94">
        <f t="shared" si="3"/>
        <v>0.69596960951362852</v>
      </c>
      <c r="H22" s="95"/>
      <c r="I22" s="95"/>
      <c r="J22" s="95">
        <v>0.94685994781386484</v>
      </c>
      <c r="K22" s="148"/>
      <c r="L22" s="124"/>
      <c r="M22" s="124"/>
    </row>
    <row r="23" spans="2:15" x14ac:dyDescent="0.2">
      <c r="B23" s="136">
        <v>22.416666666744277</v>
      </c>
      <c r="C23" s="158">
        <v>4.546666666666666</v>
      </c>
      <c r="D23" s="132">
        <f t="shared" si="1"/>
        <v>4.7672201550393183</v>
      </c>
      <c r="E23" s="133">
        <f t="shared" si="4"/>
        <v>4.8643841233345683E-2</v>
      </c>
      <c r="F23" s="94">
        <v>5</v>
      </c>
      <c r="G23" s="94">
        <f t="shared" si="3"/>
        <v>0.8092220740820304</v>
      </c>
      <c r="H23" s="95"/>
      <c r="I23" s="95"/>
      <c r="J23" s="95">
        <v>1.1031910631436623</v>
      </c>
      <c r="K23" s="148"/>
      <c r="L23" s="124"/>
      <c r="M23" s="124"/>
    </row>
    <row r="24" spans="2:15" x14ac:dyDescent="0.2">
      <c r="B24" s="136">
        <v>26.416666666686069</v>
      </c>
      <c r="C24" s="158">
        <v>4.9866666666666672</v>
      </c>
      <c r="D24" s="132">
        <f t="shared" si="1"/>
        <v>5.2614121013601345</v>
      </c>
      <c r="E24" s="133">
        <f t="shared" si="4"/>
        <v>7.5485053884902273E-2</v>
      </c>
      <c r="F24" s="94">
        <v>6</v>
      </c>
      <c r="G24" s="94">
        <f t="shared" si="3"/>
        <v>0.95425803041968504</v>
      </c>
      <c r="H24" s="95"/>
      <c r="I24" s="95"/>
      <c r="J24" s="95">
        <v>1.2839702493354748</v>
      </c>
      <c r="K24" s="148"/>
      <c r="L24" s="124"/>
      <c r="M24" s="124"/>
      <c r="N24" s="122"/>
    </row>
    <row r="25" spans="2:15" x14ac:dyDescent="0.2">
      <c r="B25" s="137">
        <v>28.583333333430346</v>
      </c>
      <c r="C25" s="158">
        <v>5.5</v>
      </c>
      <c r="D25" s="132">
        <f t="shared" si="1"/>
        <v>5.4485207993905682</v>
      </c>
      <c r="E25" s="133">
        <f t="shared" si="4"/>
        <v>2.6501080953861217E-3</v>
      </c>
      <c r="F25" s="94">
        <v>7</v>
      </c>
      <c r="G25" s="94">
        <f t="shared" si="3"/>
        <v>1.1311087411534202</v>
      </c>
      <c r="H25" s="95"/>
      <c r="I25" s="95"/>
      <c r="J25" s="95">
        <v>1.4866351519933336</v>
      </c>
      <c r="K25" s="149"/>
      <c r="L25" s="124"/>
      <c r="M25" s="124"/>
      <c r="N25" s="122"/>
    </row>
    <row r="26" spans="2:15" x14ac:dyDescent="0.2">
      <c r="B26" s="145">
        <v>29.616666666639503</v>
      </c>
      <c r="C26" s="159">
        <v>5.28</v>
      </c>
      <c r="D26" s="132">
        <f t="shared" si="1"/>
        <v>5.5218997192706603</v>
      </c>
      <c r="E26" s="133">
        <f t="shared" si="4"/>
        <v>5.8515474183224121E-2</v>
      </c>
      <c r="F26" s="94">
        <v>8</v>
      </c>
      <c r="G26" s="94">
        <f t="shared" si="3"/>
        <v>1.3377175406150679</v>
      </c>
      <c r="H26" s="95"/>
      <c r="I26" s="95"/>
      <c r="J26" s="103">
        <v>1.7076846185689847</v>
      </c>
      <c r="K26" s="122"/>
      <c r="L26" s="122"/>
      <c r="M26" s="122"/>
    </row>
    <row r="27" spans="2:15" x14ac:dyDescent="0.2">
      <c r="B27" s="138">
        <v>44.666666666627862</v>
      </c>
      <c r="C27" s="158">
        <v>5.6433333333333335</v>
      </c>
      <c r="D27" s="132">
        <f t="shared" si="1"/>
        <v>5.9643595152449151</v>
      </c>
      <c r="E27" s="133">
        <f t="shared" si="4"/>
        <v>0.10305780947272788</v>
      </c>
      <c r="F27" s="94">
        <v>9</v>
      </c>
      <c r="G27" s="94">
        <f t="shared" si="3"/>
        <v>1.5702413076596964</v>
      </c>
      <c r="H27" s="95"/>
      <c r="I27" s="95"/>
      <c r="J27" s="103">
        <v>1.9430033287201982</v>
      </c>
      <c r="K27" s="122"/>
      <c r="L27" s="122"/>
      <c r="M27" s="122"/>
    </row>
    <row r="28" spans="2:15" x14ac:dyDescent="0.2">
      <c r="B28" s="138">
        <v>48</v>
      </c>
      <c r="C28" s="158">
        <v>5.6066666666666665</v>
      </c>
      <c r="D28" s="132">
        <f t="shared" si="1"/>
        <v>5.9890559479864951</v>
      </c>
      <c r="E28" s="133">
        <f t="shared" si="4"/>
        <v>0.14622156246829504</v>
      </c>
      <c r="F28" s="94">
        <v>10</v>
      </c>
      <c r="G28" s="94">
        <f t="shared" si="3"/>
        <v>1.8235375041751694</v>
      </c>
      <c r="H28" s="95"/>
      <c r="I28" s="95"/>
      <c r="J28" s="122">
        <v>2.1881898856295825</v>
      </c>
      <c r="K28" s="122"/>
      <c r="L28" s="122"/>
    </row>
    <row r="29" spans="2:15" x14ac:dyDescent="0.2">
      <c r="B29" s="138">
        <v>49.833333333372138</v>
      </c>
      <c r="C29" s="158">
        <v>5.66</v>
      </c>
      <c r="D29" s="132">
        <f t="shared" si="1"/>
        <v>5.9985614079533605</v>
      </c>
      <c r="E29" s="133">
        <f t="shared" si="4"/>
        <v>0.11462382695536168</v>
      </c>
      <c r="F29" s="94">
        <v>11</v>
      </c>
      <c r="G29" s="94">
        <f t="shared" si="3"/>
        <v>2.0917241318410977</v>
      </c>
      <c r="H29" s="95"/>
      <c r="I29" s="95"/>
      <c r="J29" s="122">
        <v>2.4388511072215513</v>
      </c>
      <c r="K29" s="122"/>
      <c r="L29" s="122"/>
    </row>
    <row r="30" spans="2:15" x14ac:dyDescent="0.2">
      <c r="B30" s="138">
        <v>52.833333333372138</v>
      </c>
      <c r="C30" s="158">
        <v>5.8733333333333322</v>
      </c>
      <c r="D30" s="132">
        <f t="shared" si="1"/>
        <v>6.0098011244547287</v>
      </c>
      <c r="E30" s="133">
        <f t="shared" si="4"/>
        <v>1.8623458013553109E-2</v>
      </c>
      <c r="F30" s="94">
        <v>12</v>
      </c>
      <c r="G30" s="94">
        <f t="shared" si="3"/>
        <v>2.3687166564060176</v>
      </c>
      <c r="H30" s="95"/>
      <c r="I30" s="95"/>
      <c r="J30" s="122">
        <v>2.6908397734394462</v>
      </c>
      <c r="K30" s="122"/>
      <c r="L30" s="122"/>
    </row>
    <row r="31" spans="2:15" x14ac:dyDescent="0.2">
      <c r="B31" s="138">
        <v>68.500000000116415</v>
      </c>
      <c r="C31" s="158">
        <v>6.003333333333333</v>
      </c>
      <c r="D31" s="132">
        <f t="shared" si="1"/>
        <v>6.0293768996243635</v>
      </c>
      <c r="E31" s="133">
        <f t="shared" si="4"/>
        <v>6.7826734515530286E-4</v>
      </c>
      <c r="F31" s="94">
        <v>13</v>
      </c>
      <c r="G31" s="94">
        <f t="shared" si="3"/>
        <v>2.6486770746703461</v>
      </c>
      <c r="H31" s="95"/>
      <c r="I31" s="95"/>
      <c r="J31" s="122">
        <v>2.9404264812715559</v>
      </c>
      <c r="K31" s="122"/>
    </row>
    <row r="32" spans="2:15" x14ac:dyDescent="0.2">
      <c r="B32" s="138">
        <v>77.583333333372138</v>
      </c>
      <c r="C32" s="158">
        <v>6.7133333333333338</v>
      </c>
      <c r="D32" s="132">
        <f t="shared" si="1"/>
        <v>6.0312244943733564</v>
      </c>
      <c r="E32" s="133">
        <f t="shared" si="4"/>
        <v>0.46527246818732843</v>
      </c>
      <c r="F32" s="94">
        <v>14</v>
      </c>
      <c r="G32" s="94">
        <f t="shared" si="3"/>
        <v>2.9263433548263977</v>
      </c>
      <c r="H32" s="95"/>
      <c r="I32" s="95"/>
      <c r="J32" s="122">
        <v>3.1844066255970427</v>
      </c>
      <c r="K32" s="122"/>
    </row>
    <row r="33" spans="2:11" x14ac:dyDescent="0.2">
      <c r="B33" s="95">
        <v>92.583333333372138</v>
      </c>
      <c r="C33" s="158">
        <v>6.0533333333333319</v>
      </c>
      <c r="D33" s="132">
        <f t="shared" ref="D33:D39" si="5">$C$18+$D$11*EXP(-EXP(($D$12*EXP(1))/$D$11*($D$13-B33)+1))</f>
        <v>6.0318763523065009</v>
      </c>
      <c r="E33" s="133">
        <f t="shared" ref="E33:E39" si="6">(C33-D33)^2</f>
        <v>4.604020347857865E-4</v>
      </c>
      <c r="F33" s="94">
        <v>15</v>
      </c>
      <c r="G33" s="94">
        <f t="shared" si="3"/>
        <v>3.1972346470992399</v>
      </c>
      <c r="H33" s="95"/>
      <c r="I33" s="95"/>
      <c r="J33" s="122">
        <v>3.4201502914509727</v>
      </c>
      <c r="K33" s="122"/>
    </row>
    <row r="34" spans="2:11" x14ac:dyDescent="0.2">
      <c r="B34" s="95">
        <v>96.149999999965075</v>
      </c>
      <c r="C34" s="160">
        <v>6.4533333333333331</v>
      </c>
      <c r="D34" s="132">
        <f t="shared" si="5"/>
        <v>6.0319133558991371</v>
      </c>
      <c r="E34" s="133">
        <f t="shared" si="6"/>
        <v>0.17759479738063827</v>
      </c>
      <c r="F34" s="94">
        <v>16</v>
      </c>
      <c r="G34" s="94">
        <f t="shared" si="3"/>
        <v>3.4577458272204735</v>
      </c>
      <c r="H34" s="95"/>
      <c r="I34" s="95"/>
      <c r="J34" s="122">
        <v>3.645606321449808</v>
      </c>
      <c r="K34" s="122"/>
    </row>
    <row r="35" spans="2:11" x14ac:dyDescent="0.2">
      <c r="B35" s="95">
        <v>99.966666666674428</v>
      </c>
      <c r="C35" s="160">
        <v>5.4866666666666672</v>
      </c>
      <c r="D35" s="132">
        <f t="shared" si="5"/>
        <v>6.0319372662997921</v>
      </c>
      <c r="E35" s="133">
        <f t="shared" si="6"/>
        <v>0.29732002682426756</v>
      </c>
      <c r="F35" s="94">
        <v>17</v>
      </c>
      <c r="G35" s="94">
        <f t="shared" si="3"/>
        <v>3.7051543217657623</v>
      </c>
      <c r="H35" s="95"/>
      <c r="I35" s="95"/>
      <c r="J35" s="122">
        <v>3.8592727537806413</v>
      </c>
      <c r="K35" s="122"/>
    </row>
    <row r="36" spans="2:11" x14ac:dyDescent="0.2">
      <c r="B36" s="95">
        <v>101.93333333329065</v>
      </c>
      <c r="C36" s="160">
        <v>6.0666666666666664</v>
      </c>
      <c r="D36" s="132">
        <f t="shared" si="5"/>
        <v>6.0319454871134361</v>
      </c>
      <c r="E36" s="133">
        <f t="shared" si="6"/>
        <v>1.2055603095676569E-3</v>
      </c>
      <c r="F36" s="94">
        <v>18</v>
      </c>
      <c r="G36" s="94">
        <f t="shared" si="3"/>
        <v>3.9375647116807513</v>
      </c>
      <c r="H36" s="95"/>
      <c r="I36" s="95"/>
      <c r="J36" s="122">
        <v>4.0601450573433935</v>
      </c>
      <c r="K36" s="122"/>
    </row>
    <row r="37" spans="2:11" x14ac:dyDescent="0.2">
      <c r="B37" s="95">
        <v>103.33333333331393</v>
      </c>
      <c r="C37" s="160">
        <v>6.28</v>
      </c>
      <c r="D37" s="132">
        <f t="shared" si="5"/>
        <v>6.0319501267402522</v>
      </c>
      <c r="E37" s="133">
        <f t="shared" si="6"/>
        <v>6.1528739624177063E-2</v>
      </c>
      <c r="F37" s="94">
        <v>19</v>
      </c>
      <c r="G37" s="94">
        <f t="shared" si="3"/>
        <v>4.1538147240914416</v>
      </c>
      <c r="H37" s="4"/>
      <c r="I37" s="122"/>
      <c r="J37" s="122">
        <v>4.2476518747085379</v>
      </c>
      <c r="K37" s="122"/>
    </row>
    <row r="38" spans="2:11" x14ac:dyDescent="0.2">
      <c r="B38" s="95">
        <v>144.33333333337214</v>
      </c>
      <c r="C38" s="160">
        <v>5.62</v>
      </c>
      <c r="D38" s="132">
        <f t="shared" si="5"/>
        <v>6.0319719850444713</v>
      </c>
      <c r="E38" s="133">
        <f t="shared" si="6"/>
        <v>0.16972091646148199</v>
      </c>
      <c r="F38" s="94">
        <v>20</v>
      </c>
      <c r="G38" s="94">
        <f t="shared" si="3"/>
        <v>4.3533620401223274</v>
      </c>
      <c r="H38" s="146"/>
      <c r="I38" s="122"/>
      <c r="J38" s="122">
        <v>4.4215858959930987</v>
      </c>
      <c r="K38" s="122"/>
    </row>
    <row r="39" spans="2:11" x14ac:dyDescent="0.2">
      <c r="B39" s="95">
        <v>165.08333333343035</v>
      </c>
      <c r="C39" s="160">
        <v>6.94</v>
      </c>
      <c r="D39" s="132">
        <f t="shared" si="5"/>
        <v>6.0319720600465008</v>
      </c>
      <c r="E39" s="133">
        <f t="shared" si="6"/>
        <v>0.82451473973619627</v>
      </c>
      <c r="F39" s="94">
        <v>21</v>
      </c>
      <c r="G39" s="94">
        <f t="shared" si="3"/>
        <v>4.5361664373427342</v>
      </c>
      <c r="H39" s="146"/>
      <c r="I39" s="122"/>
      <c r="J39" s="122">
        <v>4.5820354129715426</v>
      </c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3"/>
        <v>4.7025771276405788</v>
      </c>
      <c r="H40" s="146"/>
      <c r="I40" s="122"/>
      <c r="J40" s="122">
        <v>4.7293202647909389</v>
      </c>
      <c r="K40" s="122"/>
    </row>
    <row r="41" spans="2:11" x14ac:dyDescent="0.2">
      <c r="B41" s="95"/>
      <c r="C41" s="121"/>
      <c r="D41" s="132"/>
      <c r="E41" s="133"/>
      <c r="F41" s="94">
        <v>23</v>
      </c>
      <c r="G41" s="94">
        <f t="shared" si="3"/>
        <v>4.8532312416417636</v>
      </c>
      <c r="H41" s="146"/>
      <c r="I41" s="122"/>
      <c r="J41" s="122">
        <v>4.8639343844080276</v>
      </c>
      <c r="K41" s="122"/>
    </row>
    <row r="42" spans="2:11" x14ac:dyDescent="0.2">
      <c r="B42" s="95"/>
      <c r="C42" s="121"/>
      <c r="D42" s="132"/>
      <c r="E42" s="133"/>
      <c r="F42" s="94">
        <v>24</v>
      </c>
      <c r="G42" s="94">
        <f t="shared" si="3"/>
        <v>4.9889664127814601</v>
      </c>
      <c r="H42" s="146"/>
      <c r="I42" s="122"/>
      <c r="J42" s="122">
        <v>4.9864960068967381</v>
      </c>
      <c r="K42" s="122"/>
    </row>
    <row r="43" spans="2:11" x14ac:dyDescent="0.2">
      <c r="B43" s="95"/>
      <c r="C43" s="121"/>
      <c r="D43" s="132"/>
      <c r="E43" s="133"/>
      <c r="F43" s="94">
        <v>25</v>
      </c>
      <c r="G43" s="94">
        <f t="shared" si="3"/>
        <v>5.1107482921605225</v>
      </c>
      <c r="H43" s="146"/>
      <c r="I43" s="122"/>
      <c r="J43" s="122">
        <v>5.0977057782237445</v>
      </c>
      <c r="K43" s="122"/>
    </row>
    <row r="44" spans="2:11" x14ac:dyDescent="0.2">
      <c r="B44" s="95"/>
      <c r="C44" s="121"/>
      <c r="D44" s="132"/>
      <c r="E44" s="133"/>
      <c r="F44" s="94">
        <v>26</v>
      </c>
      <c r="G44" s="94">
        <f t="shared" si="3"/>
        <v>5.2196124455870834</v>
      </c>
      <c r="H44" s="146"/>
      <c r="I44" s="122"/>
      <c r="J44" s="122">
        <v>5.198312454336234</v>
      </c>
      <c r="K44" s="122"/>
    </row>
    <row r="45" spans="2:11" x14ac:dyDescent="0.2">
      <c r="B45" s="95"/>
      <c r="C45" s="121"/>
      <c r="D45" s="132"/>
      <c r="E45" s="133"/>
      <c r="F45" s="151">
        <v>27</v>
      </c>
      <c r="G45" s="94">
        <f t="shared" si="3"/>
        <v>5.3166192810153188</v>
      </c>
      <c r="H45" s="146"/>
      <c r="I45" s="122"/>
      <c r="J45" s="122">
        <v>5.2890855472980061</v>
      </c>
      <c r="K45" s="122"/>
    </row>
    <row r="46" spans="2:11" x14ac:dyDescent="0.2">
      <c r="B46" s="95"/>
      <c r="C46" s="121"/>
      <c r="D46" s="132"/>
      <c r="E46" s="133"/>
      <c r="F46" s="94">
        <v>28</v>
      </c>
      <c r="G46" s="94">
        <f t="shared" si="3"/>
        <v>5.4028202683247617</v>
      </c>
      <c r="H46" s="146"/>
      <c r="I46" s="122"/>
      <c r="J46" s="122">
        <v>5.3707941025633819</v>
      </c>
      <c r="K46" s="122"/>
    </row>
    <row r="47" spans="2:11" x14ac:dyDescent="0.2">
      <c r="B47" s="95"/>
      <c r="C47" s="121"/>
      <c r="D47" s="132"/>
      <c r="E47" s="133"/>
      <c r="F47" s="94">
        <v>29</v>
      </c>
      <c r="G47" s="94">
        <f t="shared" si="3"/>
        <v>5.4792336085121178</v>
      </c>
      <c r="H47" s="146"/>
      <c r="I47" s="122"/>
      <c r="J47" s="122">
        <v>5.4441907317867972</v>
      </c>
      <c r="K47" s="122"/>
    </row>
    <row r="48" spans="2:11" x14ac:dyDescent="0.2">
      <c r="B48" s="95"/>
      <c r="C48" s="121"/>
      <c r="D48" s="132"/>
      <c r="E48" s="133"/>
      <c r="F48" s="94">
        <v>30</v>
      </c>
      <c r="G48" s="94">
        <f t="shared" si="3"/>
        <v>5.5468275800617377</v>
      </c>
      <c r="H48" s="146"/>
      <c r="I48" s="122"/>
      <c r="J48" s="122">
        <v>5.5100000406118657</v>
      </c>
      <c r="K48" s="122"/>
    </row>
    <row r="49" spans="2:11" x14ac:dyDescent="0.2">
      <c r="B49" s="95"/>
      <c r="C49" s="94"/>
      <c r="D49" s="132"/>
      <c r="E49" s="133"/>
      <c r="F49" s="94">
        <v>31</v>
      </c>
      <c r="G49" s="94">
        <f t="shared" si="3"/>
        <v>5.6065099591224357</v>
      </c>
      <c r="H49" s="146"/>
      <c r="I49" s="122"/>
      <c r="J49" s="122">
        <v>5.5689106515364646</v>
      </c>
      <c r="K49" s="122"/>
    </row>
    <row r="50" spans="2:11" x14ac:dyDescent="0.2">
      <c r="B50" s="95"/>
      <c r="C50" s="94"/>
      <c r="D50" s="132"/>
      <c r="E50" s="133"/>
      <c r="F50" s="94">
        <v>32</v>
      </c>
      <c r="G50" s="94">
        <f t="shared" si="3"/>
        <v>5.6591221238104339</v>
      </c>
      <c r="H50" s="146"/>
      <c r="I50" s="122"/>
      <c r="J50" s="122">
        <v>5.6215701070530564</v>
      </c>
      <c r="K50" s="122"/>
    </row>
    <row r="51" spans="2:11" x14ac:dyDescent="0.2">
      <c r="B51" s="95"/>
      <c r="C51" s="94"/>
      <c r="D51" s="132"/>
      <c r="E51" s="133"/>
      <c r="F51" s="94">
        <v>33</v>
      </c>
      <c r="G51" s="94">
        <f t="shared" si="3"/>
        <v>5.7054366769430001</v>
      </c>
      <c r="H51" s="146"/>
      <c r="I51" s="122"/>
      <c r="J51" s="122">
        <v>5.6685820331768078</v>
      </c>
      <c r="K51" s="122"/>
    </row>
    <row r="52" spans="2:11" x14ac:dyDescent="0.2">
      <c r="B52" s="95"/>
      <c r="C52" s="94"/>
      <c r="D52" s="132"/>
      <c r="E52" s="133"/>
      <c r="F52" s="94">
        <v>34</v>
      </c>
      <c r="G52" s="94">
        <f t="shared" si="3"/>
        <v>5.7461576350683998</v>
      </c>
      <c r="H52" s="146"/>
      <c r="I52" s="122"/>
      <c r="J52" s="122">
        <v>5.7105050386098792</v>
      </c>
      <c r="K52" s="122"/>
    </row>
    <row r="53" spans="2:11" x14ac:dyDescent="0.2">
      <c r="B53" s="95"/>
      <c r="C53" s="94"/>
      <c r="D53" s="132"/>
      <c r="E53" s="133"/>
      <c r="F53" s="94">
        <v>35</v>
      </c>
      <c r="G53" s="94">
        <f t="shared" si="3"/>
        <v>5.7819224237190365</v>
      </c>
      <c r="H53" s="146"/>
      <c r="I53" s="122"/>
      <c r="J53" s="122">
        <v>5.7478529143048434</v>
      </c>
      <c r="K53" s="122"/>
    </row>
    <row r="54" spans="2:11" x14ac:dyDescent="0.2">
      <c r="B54" s="95"/>
      <c r="C54" s="94"/>
      <c r="D54" s="132"/>
      <c r="E54" s="133"/>
      <c r="F54" s="94">
        <v>36</v>
      </c>
      <c r="G54" s="94">
        <f t="shared" si="3"/>
        <v>5.813305084680648</v>
      </c>
      <c r="H54" s="146"/>
      <c r="I54" s="122"/>
      <c r="J54" s="122">
        <v>5.7810957789019888</v>
      </c>
      <c r="K54" s="122"/>
    </row>
    <row r="55" spans="2:11" x14ac:dyDescent="0.2">
      <c r="B55" s="95"/>
      <c r="C55" s="94"/>
      <c r="D55" s="132"/>
      <c r="E55" s="133"/>
      <c r="F55" s="94">
        <v>37</v>
      </c>
      <c r="G55" s="94">
        <f t="shared" si="3"/>
        <v>5.8408202400281244</v>
      </c>
      <c r="H55" s="146"/>
      <c r="I55" s="122"/>
      <c r="J55" s="122">
        <v>5.8106618860557333</v>
      </c>
      <c r="K55" s="122"/>
    </row>
    <row r="56" spans="2:11" x14ac:dyDescent="0.2">
      <c r="B56" s="95"/>
      <c r="C56" s="94"/>
      <c r="D56" s="132"/>
      <c r="E56" s="133"/>
      <c r="F56" s="94">
        <v>40</v>
      </c>
      <c r="G56" s="94">
        <f t="shared" si="3"/>
        <v>5.9045085336151093</v>
      </c>
      <c r="H56" s="146"/>
      <c r="I56" s="122"/>
      <c r="J56" s="122">
        <v>5.881003098306504</v>
      </c>
      <c r="K56" s="122"/>
    </row>
    <row r="57" spans="2:11" x14ac:dyDescent="0.2">
      <c r="B57" s="104"/>
      <c r="C57" s="94"/>
      <c r="D57" s="132"/>
      <c r="E57" s="133"/>
      <c r="F57" s="94">
        <v>42</v>
      </c>
      <c r="G57" s="94">
        <f t="shared" si="3"/>
        <v>5.9347954746689879</v>
      </c>
      <c r="H57" s="48"/>
      <c r="I57" s="122"/>
      <c r="J57" s="122">
        <v>5.9157000774530761</v>
      </c>
      <c r="K57" s="122"/>
    </row>
    <row r="58" spans="2:11" x14ac:dyDescent="0.2">
      <c r="B58" s="104"/>
      <c r="C58" s="94"/>
      <c r="D58" s="132"/>
      <c r="E58" s="133"/>
      <c r="F58" s="94">
        <v>44</v>
      </c>
      <c r="G58" s="94">
        <f t="shared" si="3"/>
        <v>5.9579349344471808</v>
      </c>
      <c r="H58" s="48"/>
      <c r="I58" s="122"/>
      <c r="J58" s="122">
        <v>5.942978303963681</v>
      </c>
      <c r="K58" s="122"/>
    </row>
    <row r="59" spans="2:11" x14ac:dyDescent="0.2">
      <c r="B59" s="104"/>
      <c r="C59" s="94"/>
      <c r="D59" s="94"/>
      <c r="E59" s="95"/>
      <c r="F59" s="94">
        <v>46</v>
      </c>
      <c r="G59" s="94">
        <f t="shared" si="3"/>
        <v>5.9755929330234441</v>
      </c>
      <c r="H59" s="4"/>
      <c r="I59" s="122"/>
      <c r="J59" s="122">
        <v>5.9643973680206752</v>
      </c>
      <c r="K59" s="122"/>
    </row>
    <row r="60" spans="2:11" x14ac:dyDescent="0.2">
      <c r="B60" s="104"/>
      <c r="C60" s="94"/>
      <c r="D60" s="94"/>
      <c r="E60" s="95"/>
      <c r="F60" s="94">
        <v>48</v>
      </c>
      <c r="G60" s="94">
        <f t="shared" si="3"/>
        <v>5.9890559479864951</v>
      </c>
      <c r="H60" s="4"/>
      <c r="I60" s="122"/>
      <c r="J60" s="122">
        <v>5.9811994313406416</v>
      </c>
      <c r="K60" s="122"/>
    </row>
    <row r="61" spans="2:11" x14ac:dyDescent="0.2">
      <c r="B61" s="104"/>
      <c r="C61" s="94"/>
      <c r="D61" s="94"/>
      <c r="E61" s="95"/>
      <c r="F61" s="94">
        <v>50</v>
      </c>
      <c r="G61" s="94">
        <f t="shared" si="3"/>
        <v>5.9993136157657911</v>
      </c>
      <c r="H61" s="4"/>
      <c r="I61" s="122"/>
      <c r="J61" s="122">
        <v>5.9943697010067467</v>
      </c>
      <c r="K61" s="122"/>
    </row>
    <row r="62" spans="2:11" x14ac:dyDescent="0.2">
      <c r="B62" s="104"/>
      <c r="C62" s="94"/>
      <c r="D62" s="94"/>
      <c r="E62" s="95"/>
      <c r="F62" s="94">
        <v>52</v>
      </c>
      <c r="G62" s="94">
        <f t="shared" si="3"/>
        <v>6.0071250536563312</v>
      </c>
      <c r="H62" s="122"/>
      <c r="I62" s="122"/>
      <c r="J62" s="122">
        <v>6.0046870633603504</v>
      </c>
    </row>
    <row r="63" spans="2:11" x14ac:dyDescent="0.2">
      <c r="B63" s="104"/>
      <c r="C63" s="94"/>
      <c r="D63" s="94"/>
      <c r="E63" s="95"/>
      <c r="F63" s="94">
        <v>54</v>
      </c>
      <c r="G63" s="94">
        <f t="shared" si="3"/>
        <v>6.013071302420995</v>
      </c>
      <c r="H63" s="122"/>
      <c r="I63" s="122"/>
      <c r="J63" s="122">
        <v>6.0127657541427126</v>
      </c>
    </row>
    <row r="64" spans="2:11" x14ac:dyDescent="0.2">
      <c r="B64" s="104"/>
      <c r="C64" s="94"/>
      <c r="D64" s="94"/>
      <c r="E64" s="95"/>
      <c r="F64" s="94">
        <v>56</v>
      </c>
      <c r="G64" s="94">
        <f t="shared" si="3"/>
        <v>6.0175963767160461</v>
      </c>
      <c r="H64" s="122"/>
      <c r="I64" s="122"/>
      <c r="J64" s="122">
        <v>6.0190892261630484</v>
      </c>
    </row>
    <row r="65" spans="2:12" x14ac:dyDescent="0.2">
      <c r="B65" s="104"/>
      <c r="C65" s="94"/>
      <c r="D65" s="94"/>
      <c r="E65" s="95"/>
      <c r="F65" s="94">
        <v>58</v>
      </c>
      <c r="G65" s="94">
        <f t="shared" si="3"/>
        <v>6.0210391619737678</v>
      </c>
      <c r="H65" s="122"/>
      <c r="I65" s="122"/>
      <c r="J65" s="122">
        <v>6.0240374227944251</v>
      </c>
    </row>
    <row r="66" spans="2:12" x14ac:dyDescent="0.2">
      <c r="B66" s="104"/>
      <c r="C66" s="94"/>
      <c r="D66" s="94"/>
      <c r="E66" s="95"/>
      <c r="F66" s="94">
        <v>60</v>
      </c>
      <c r="G66" s="94">
        <f t="shared" si="3"/>
        <v>6.0236580644632145</v>
      </c>
      <c r="H66" s="122"/>
      <c r="I66" s="122"/>
      <c r="J66" s="122">
        <v>6.0279085900514158</v>
      </c>
    </row>
    <row r="67" spans="2:12" x14ac:dyDescent="0.2">
      <c r="B67" s="104"/>
      <c r="C67" s="94"/>
      <c r="D67" s="94"/>
      <c r="E67" s="95"/>
      <c r="F67" s="94">
        <v>62</v>
      </c>
      <c r="G67" s="94">
        <f t="shared" si="3"/>
        <v>6.0256499841914017</v>
      </c>
      <c r="H67" s="122"/>
      <c r="I67" s="122"/>
      <c r="J67" s="122">
        <v>6.0309366299559688</v>
      </c>
    </row>
    <row r="68" spans="2:12" x14ac:dyDescent="0.2">
      <c r="B68" s="104"/>
      <c r="C68" s="94"/>
      <c r="D68" s="94"/>
      <c r="E68" s="95"/>
      <c r="F68" s="94">
        <v>64</v>
      </c>
      <c r="G68" s="94">
        <f t="shared" si="3"/>
        <v>6.0271648741448391</v>
      </c>
      <c r="H68" s="122"/>
      <c r="I68" s="122"/>
      <c r="J68" s="122">
        <v>6.0333048517137549</v>
      </c>
    </row>
    <row r="69" spans="2:12" s="4" customFormat="1" x14ac:dyDescent="0.2">
      <c r="B69" s="122"/>
      <c r="C69" s="94"/>
      <c r="D69" s="94"/>
      <c r="E69" s="95"/>
      <c r="F69" s="94">
        <v>66</v>
      </c>
      <c r="G69" s="94">
        <f t="shared" si="3"/>
        <v>6.0283168873419797</v>
      </c>
      <c r="H69" s="122"/>
      <c r="I69" s="122"/>
      <c r="J69" s="122">
        <v>6.0351568351891807</v>
      </c>
      <c r="K69" s="2"/>
    </row>
    <row r="70" spans="2:12" s="4" customFormat="1" x14ac:dyDescent="0.2">
      <c r="B70" s="122"/>
      <c r="C70" s="94"/>
      <c r="D70" s="94"/>
      <c r="E70" s="95"/>
      <c r="F70" s="94">
        <v>68</v>
      </c>
      <c r="G70" s="94">
        <f t="shared" si="3"/>
        <v>6.0291928968549371</v>
      </c>
      <c r="I70" s="122"/>
      <c r="J70" s="122">
        <v>6.0366049929080994</v>
      </c>
      <c r="L70" s="2"/>
    </row>
    <row r="71" spans="2:12" s="4" customFormat="1" x14ac:dyDescent="0.2">
      <c r="B71" s="122"/>
      <c r="C71" s="94"/>
      <c r="D71" s="94"/>
      <c r="E71" s="95"/>
      <c r="F71" s="94">
        <v>70</v>
      </c>
      <c r="G71" s="94">
        <f t="shared" si="3"/>
        <v>6.029858999537911</v>
      </c>
      <c r="I71" s="122"/>
      <c r="J71" s="122">
        <v>6.0377373058990145</v>
      </c>
    </row>
    <row r="72" spans="2:12" s="4" customFormat="1" x14ac:dyDescent="0.2">
      <c r="B72" s="122"/>
      <c r="C72" s="94"/>
      <c r="D72" s="94"/>
      <c r="E72" s="95"/>
      <c r="F72" s="94">
        <v>72</v>
      </c>
      <c r="G72" s="94">
        <f t="shared" si="3"/>
        <v>6.0303654757966587</v>
      </c>
      <c r="J72" s="4">
        <v>6.0386226154039413</v>
      </c>
    </row>
    <row r="73" spans="2:12" s="4" customFormat="1" x14ac:dyDescent="0.2">
      <c r="B73" s="122"/>
      <c r="C73" s="94"/>
      <c r="D73" s="94"/>
      <c r="E73" s="95"/>
      <c r="F73" s="94">
        <v>74</v>
      </c>
      <c r="G73" s="94">
        <f t="shared" si="3"/>
        <v>6.0307505691432226</v>
      </c>
      <c r="J73" s="4">
        <v>6.039314775525968</v>
      </c>
    </row>
    <row r="74" spans="2:12" s="4" customFormat="1" x14ac:dyDescent="0.2">
      <c r="B74" s="122"/>
      <c r="C74" s="94"/>
      <c r="D74" s="94"/>
      <c r="E74" s="95"/>
      <c r="F74" s="94">
        <v>76</v>
      </c>
      <c r="G74" s="94">
        <f t="shared" si="3"/>
        <v>6.0310433647693884</v>
      </c>
      <c r="J74" s="4">
        <v>6.039855909229793</v>
      </c>
    </row>
    <row r="75" spans="2:12" s="4" customFormat="1" x14ac:dyDescent="0.2">
      <c r="B75" s="122"/>
      <c r="C75" s="94"/>
      <c r="D75" s="94"/>
      <c r="E75" s="95"/>
      <c r="F75" s="94">
        <v>78</v>
      </c>
      <c r="G75" s="94">
        <f t="shared" si="3"/>
        <v>6.0312659809892448</v>
      </c>
      <c r="J75" s="4">
        <v>6.040278959610184</v>
      </c>
    </row>
    <row r="76" spans="2:12" s="4" customFormat="1" x14ac:dyDescent="0.2">
      <c r="B76" s="122"/>
      <c r="C76" s="94"/>
      <c r="D76" s="94"/>
      <c r="E76" s="95"/>
      <c r="F76" s="94">
        <v>80</v>
      </c>
      <c r="G76" s="94">
        <f t="shared" si="3"/>
        <v>6.0314352370366695</v>
      </c>
      <c r="J76" s="4">
        <v>6.0406096879296722</v>
      </c>
    </row>
    <row r="77" spans="2:12" s="4" customFormat="1" x14ac:dyDescent="0.2">
      <c r="B77" s="122"/>
      <c r="C77" s="94"/>
      <c r="D77" s="94"/>
      <c r="E77" s="95"/>
      <c r="F77" s="94">
        <v>82</v>
      </c>
      <c r="G77" s="94">
        <f t="shared" si="3"/>
        <v>6.0315639220330759</v>
      </c>
      <c r="J77" s="4">
        <v>6.0408682377613374</v>
      </c>
    </row>
    <row r="78" spans="2:12" s="4" customFormat="1" x14ac:dyDescent="0.2">
      <c r="B78" s="82"/>
      <c r="C78" s="94"/>
      <c r="D78" s="94"/>
      <c r="E78" s="95"/>
      <c r="F78" s="94">
        <v>84</v>
      </c>
      <c r="G78" s="94">
        <f t="shared" si="3"/>
        <v>6.0316617603209046</v>
      </c>
      <c r="J78" s="4">
        <v>6.0410703590771</v>
      </c>
    </row>
    <row r="79" spans="2:12" s="4" customFormat="1" x14ac:dyDescent="0.2">
      <c r="B79" s="82"/>
      <c r="C79" s="94"/>
      <c r="D79" s="94"/>
      <c r="E79" s="95"/>
      <c r="F79" s="94">
        <v>86</v>
      </c>
      <c r="G79" s="94">
        <f t="shared" si="3"/>
        <v>6.031736145712097</v>
      </c>
      <c r="J79" s="4">
        <v>6.041228365976739</v>
      </c>
    </row>
    <row r="80" spans="2:12" s="4" customFormat="1" x14ac:dyDescent="0.2">
      <c r="B80" s="82"/>
      <c r="C80" s="94"/>
      <c r="D80" s="94"/>
      <c r="E80" s="95"/>
      <c r="F80" s="94">
        <v>88</v>
      </c>
      <c r="G80" s="94">
        <f t="shared" si="3"/>
        <v>6.0317926999097757</v>
      </c>
      <c r="J80" s="4">
        <v>6.0413518858735245</v>
      </c>
    </row>
    <row r="81" spans="2:10" s="4" customFormat="1" ht="13.5" customHeight="1" x14ac:dyDescent="0.2">
      <c r="B81" s="82"/>
      <c r="C81" s="94"/>
      <c r="D81" s="94"/>
      <c r="E81" s="95"/>
      <c r="F81" s="94">
        <v>90</v>
      </c>
      <c r="G81" s="94">
        <f t="shared" si="3"/>
        <v>6.0318356971729692</v>
      </c>
      <c r="J81" s="4">
        <v>6.0414484454587587</v>
      </c>
    </row>
    <row r="82" spans="2:10" s="4" customFormat="1" x14ac:dyDescent="0.2">
      <c r="B82" s="82"/>
      <c r="C82" s="94"/>
      <c r="D82" s="94"/>
      <c r="E82" s="95"/>
      <c r="F82" s="94">
        <v>92</v>
      </c>
      <c r="G82" s="94">
        <f t="shared" si="3"/>
        <v>6.0318683872428238</v>
      </c>
      <c r="J82" s="4">
        <v>6.041523928951829</v>
      </c>
    </row>
    <row r="83" spans="2:10" s="4" customFormat="1" x14ac:dyDescent="0.2">
      <c r="B83" s="82"/>
      <c r="C83" s="94"/>
      <c r="D83" s="94"/>
      <c r="E83" s="95"/>
      <c r="F83" s="94">
        <v>94</v>
      </c>
      <c r="G83" s="94">
        <f t="shared" ref="G83:G101" si="7">$C$18+$D$11*EXP(-EXP(($D$12*EXP(1))/$D$11*($D$13-F83)+1))</f>
        <v>6.0318932408926464</v>
      </c>
      <c r="J83" s="4">
        <v>6.0415829364392302</v>
      </c>
    </row>
    <row r="84" spans="2:10" s="4" customFormat="1" x14ac:dyDescent="0.2">
      <c r="B84" s="82"/>
      <c r="C84" s="94"/>
      <c r="D84" s="94"/>
      <c r="E84" s="95"/>
      <c r="F84" s="94">
        <v>96</v>
      </c>
      <c r="G84" s="94">
        <f t="shared" si="7"/>
        <v>6.0319121366351673</v>
      </c>
      <c r="J84" s="4">
        <v>6.0416290640659156</v>
      </c>
    </row>
    <row r="85" spans="2:10" s="4" customFormat="1" x14ac:dyDescent="0.2">
      <c r="B85" s="82"/>
      <c r="C85" s="94"/>
      <c r="D85" s="94"/>
      <c r="E85" s="95"/>
      <c r="F85" s="94">
        <v>98</v>
      </c>
      <c r="G85" s="94">
        <f t="shared" si="7"/>
        <v>6.0319265026840583</v>
      </c>
      <c r="J85" s="4">
        <v>6.0416651231094711</v>
      </c>
    </row>
    <row r="86" spans="2:10" s="4" customFormat="1" x14ac:dyDescent="0.2">
      <c r="B86" s="82"/>
      <c r="C86" s="94"/>
      <c r="D86" s="94"/>
      <c r="E86" s="95"/>
      <c r="F86" s="94">
        <v>100</v>
      </c>
      <c r="G86" s="94">
        <f t="shared" si="7"/>
        <v>6.0319374248911384</v>
      </c>
      <c r="J86" s="4">
        <v>6.0416933112609232</v>
      </c>
    </row>
    <row r="87" spans="2:10" s="4" customFormat="1" x14ac:dyDescent="0.2">
      <c r="B87" s="82"/>
      <c r="C87" s="94"/>
      <c r="D87" s="94"/>
      <c r="E87" s="95"/>
      <c r="F87" s="94">
        <v>105</v>
      </c>
      <c r="G87" s="94">
        <f t="shared" si="7"/>
        <v>6.031954606214736</v>
      </c>
      <c r="J87" s="4">
        <v>6.0417397186582988</v>
      </c>
    </row>
    <row r="88" spans="2:10" s="4" customFormat="1" x14ac:dyDescent="0.2">
      <c r="B88" s="82"/>
      <c r="C88" s="94"/>
      <c r="D88" s="94"/>
      <c r="E88" s="95"/>
      <c r="F88" s="94">
        <v>110</v>
      </c>
      <c r="G88" s="94">
        <f t="shared" si="7"/>
        <v>6.0319632656151558</v>
      </c>
      <c r="J88" s="4">
        <v>6.0417647921443276</v>
      </c>
    </row>
    <row r="89" spans="2:10" s="4" customFormat="1" x14ac:dyDescent="0.2">
      <c r="B89" s="82"/>
      <c r="C89" s="94"/>
      <c r="D89" s="94"/>
      <c r="E89" s="95"/>
      <c r="F89" s="94">
        <v>115</v>
      </c>
      <c r="G89" s="94">
        <f t="shared" si="7"/>
        <v>6.0319676299546519</v>
      </c>
      <c r="J89" s="4">
        <v>6.0417783390761084</v>
      </c>
    </row>
    <row r="90" spans="2:10" s="4" customFormat="1" x14ac:dyDescent="0.2">
      <c r="B90" s="10"/>
      <c r="C90" s="94"/>
      <c r="D90" s="94"/>
      <c r="E90" s="95"/>
      <c r="F90" s="94">
        <v>120</v>
      </c>
      <c r="G90" s="94">
        <f t="shared" si="7"/>
        <v>6.03196982958133</v>
      </c>
      <c r="J90" s="4">
        <v>6.0417856583243328</v>
      </c>
    </row>
    <row r="91" spans="2:10" s="4" customFormat="1" x14ac:dyDescent="0.2">
      <c r="B91" s="10"/>
      <c r="C91" s="10"/>
      <c r="D91" s="94"/>
      <c r="E91" s="95"/>
      <c r="F91" s="94">
        <v>125</v>
      </c>
      <c r="G91" s="94">
        <f t="shared" si="7"/>
        <v>6.0319709381926341</v>
      </c>
      <c r="J91" s="4">
        <v>6.0417896128248252</v>
      </c>
    </row>
    <row r="92" spans="2:10" s="4" customFormat="1" ht="13.5" customHeight="1" x14ac:dyDescent="0.2">
      <c r="B92" s="10"/>
      <c r="C92" s="10"/>
      <c r="D92" s="10"/>
      <c r="E92" s="10"/>
      <c r="F92" s="94">
        <v>130</v>
      </c>
      <c r="G92" s="94">
        <f t="shared" si="7"/>
        <v>6.0319714969323748</v>
      </c>
      <c r="J92" s="4">
        <v>6.0417917493921873</v>
      </c>
    </row>
    <row r="93" spans="2:10" s="4" customFormat="1" x14ac:dyDescent="0.2">
      <c r="B93" s="10"/>
      <c r="C93" s="10"/>
      <c r="D93" s="10"/>
      <c r="E93" s="10"/>
      <c r="F93" s="94">
        <v>135</v>
      </c>
      <c r="G93" s="94">
        <f t="shared" si="7"/>
        <v>6.0319717785370059</v>
      </c>
      <c r="J93" s="4">
        <v>6.041792903752631</v>
      </c>
    </row>
    <row r="94" spans="2:10" s="4" customFormat="1" x14ac:dyDescent="0.2">
      <c r="B94" s="10"/>
      <c r="C94" s="10"/>
      <c r="D94" s="10"/>
      <c r="E94" s="10"/>
      <c r="F94" s="94">
        <v>140</v>
      </c>
      <c r="G94" s="94">
        <f t="shared" si="7"/>
        <v>6.031971920465633</v>
      </c>
      <c r="J94" s="4">
        <v>6.0417935274389603</v>
      </c>
    </row>
    <row r="95" spans="2:10" s="4" customFormat="1" x14ac:dyDescent="0.2">
      <c r="B95" s="10"/>
      <c r="C95" s="10"/>
      <c r="D95" s="10"/>
      <c r="E95" s="10"/>
      <c r="F95" s="94">
        <v>145</v>
      </c>
      <c r="G95" s="94">
        <f t="shared" si="7"/>
        <v>6.0319719919976063</v>
      </c>
      <c r="J95" s="4">
        <v>6.0417938644087599</v>
      </c>
    </row>
    <row r="96" spans="2:10" s="4" customFormat="1" x14ac:dyDescent="0.2">
      <c r="B96" s="10"/>
      <c r="C96" s="10"/>
      <c r="D96" s="10"/>
      <c r="E96" s="10"/>
      <c r="F96" s="94">
        <v>150</v>
      </c>
      <c r="G96" s="94">
        <f t="shared" si="7"/>
        <v>6.0319720280496938</v>
      </c>
      <c r="J96" s="4">
        <v>6.0417940464692546</v>
      </c>
    </row>
    <row r="97" spans="2:12" s="4" customFormat="1" x14ac:dyDescent="0.2">
      <c r="B97" s="10"/>
      <c r="C97" s="10"/>
      <c r="D97" s="10"/>
      <c r="E97" s="10"/>
      <c r="F97" s="94">
        <v>155</v>
      </c>
      <c r="G97" s="94">
        <f t="shared" si="7"/>
        <v>6.0319720462199307</v>
      </c>
      <c r="J97" s="4">
        <v>6.0417941448342205</v>
      </c>
    </row>
    <row r="98" spans="2:12" s="4" customFormat="1" x14ac:dyDescent="0.2">
      <c r="B98" s="10"/>
      <c r="C98" s="10"/>
      <c r="D98" s="10"/>
      <c r="E98" s="10"/>
      <c r="F98" s="94">
        <v>160</v>
      </c>
      <c r="G98" s="94">
        <f t="shared" si="7"/>
        <v>6.0319720553777234</v>
      </c>
      <c r="J98" s="4">
        <v>6.0417941979795575</v>
      </c>
    </row>
    <row r="99" spans="2:12" s="4" customFormat="1" x14ac:dyDescent="0.2">
      <c r="B99" s="10"/>
      <c r="C99" s="10"/>
      <c r="D99" s="10"/>
      <c r="E99" s="10"/>
      <c r="F99" s="94">
        <v>165</v>
      </c>
      <c r="G99" s="94">
        <f t="shared" si="7"/>
        <v>6.0319720599932474</v>
      </c>
      <c r="J99" s="4">
        <v>6.0417942266933071</v>
      </c>
    </row>
    <row r="100" spans="2:12" s="4" customFormat="1" x14ac:dyDescent="0.2">
      <c r="B100" s="10"/>
      <c r="C100" s="10"/>
      <c r="D100" s="10"/>
      <c r="E100" s="10"/>
      <c r="F100" s="94">
        <v>170</v>
      </c>
      <c r="G100" s="94">
        <f t="shared" si="7"/>
        <v>6.0319720623194684</v>
      </c>
      <c r="J100" s="4">
        <v>6.0417942422069792</v>
      </c>
    </row>
    <row r="101" spans="2:12" s="4" customFormat="1" x14ac:dyDescent="0.2">
      <c r="B101" s="10"/>
      <c r="C101" s="10"/>
      <c r="D101" s="10"/>
      <c r="E101" s="10"/>
      <c r="F101" s="94">
        <v>175</v>
      </c>
      <c r="G101" s="94">
        <f t="shared" si="7"/>
        <v>6.0319720634918852</v>
      </c>
      <c r="J101" s="4">
        <v>6.0417942505888185</v>
      </c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4"/>
      <c r="G108" s="103"/>
    </row>
    <row r="109" spans="2:12" x14ac:dyDescent="0.2">
      <c r="B109" s="10"/>
      <c r="C109" s="10"/>
      <c r="D109" s="10"/>
      <c r="E109" s="10"/>
      <c r="F109" s="4"/>
      <c r="G109" s="103"/>
    </row>
    <row r="110" spans="2:12" x14ac:dyDescent="0.2">
      <c r="B110" s="10"/>
      <c r="C110" s="10"/>
      <c r="D110" s="10"/>
      <c r="E110" s="10"/>
      <c r="F110" s="4"/>
      <c r="G110" s="103"/>
    </row>
    <row r="111" spans="2:12" x14ac:dyDescent="0.2">
      <c r="B111" s="10"/>
      <c r="C111" s="10"/>
      <c r="D111" s="10"/>
      <c r="E111" s="10"/>
      <c r="F111" s="4"/>
      <c r="G111" s="103"/>
    </row>
    <row r="112" spans="2:12" x14ac:dyDescent="0.2">
      <c r="B112" s="10"/>
      <c r="C112" s="10"/>
      <c r="D112" s="10"/>
      <c r="E112" s="10"/>
      <c r="F112" s="4"/>
      <c r="G112" s="103"/>
    </row>
    <row r="113" spans="2:7" x14ac:dyDescent="0.2">
      <c r="B113" s="10"/>
      <c r="C113" s="10"/>
      <c r="D113" s="10"/>
      <c r="E113" s="10"/>
      <c r="F113" s="4"/>
      <c r="G113" s="103"/>
    </row>
    <row r="114" spans="2:7" x14ac:dyDescent="0.2">
      <c r="B114" s="10"/>
      <c r="C114" s="10"/>
      <c r="D114" s="10"/>
      <c r="E114" s="10"/>
      <c r="F114" s="4"/>
      <c r="G114" s="103"/>
    </row>
    <row r="115" spans="2:7" x14ac:dyDescent="0.2">
      <c r="B115" s="10"/>
      <c r="C115" s="10"/>
      <c r="D115" s="10"/>
      <c r="E115" s="10"/>
      <c r="F115" s="4"/>
      <c r="G115" s="103"/>
    </row>
    <row r="116" spans="2:7" x14ac:dyDescent="0.2">
      <c r="B116" s="10"/>
      <c r="C116" s="10"/>
      <c r="D116" s="10"/>
      <c r="E116" s="10"/>
      <c r="F116" s="4"/>
      <c r="G116" s="103"/>
    </row>
    <row r="117" spans="2:7" x14ac:dyDescent="0.2">
      <c r="B117" s="10"/>
      <c r="C117" s="10"/>
      <c r="D117" s="10"/>
      <c r="E117" s="10"/>
      <c r="F117" s="4"/>
      <c r="G117" s="103"/>
    </row>
    <row r="118" spans="2:7" x14ac:dyDescent="0.2">
      <c r="B118" s="10"/>
      <c r="C118" s="10"/>
      <c r="D118" s="10"/>
      <c r="E118" s="10"/>
      <c r="F118" s="4"/>
      <c r="G118" s="103"/>
    </row>
    <row r="119" spans="2:7" x14ac:dyDescent="0.2">
      <c r="B119" s="10"/>
      <c r="C119" s="10"/>
      <c r="D119" s="10"/>
      <c r="E119" s="10"/>
      <c r="F119" s="4"/>
      <c r="G119" s="103"/>
    </row>
    <row r="120" spans="2:7" x14ac:dyDescent="0.2">
      <c r="B120" s="10"/>
      <c r="C120" s="10"/>
      <c r="D120" s="10"/>
      <c r="E120" s="10"/>
      <c r="F120" s="4"/>
      <c r="G120" s="103"/>
    </row>
    <row r="121" spans="2:7" x14ac:dyDescent="0.2">
      <c r="B121" s="10"/>
      <c r="C121" s="10"/>
      <c r="D121" s="10"/>
      <c r="E121" s="10"/>
      <c r="F121" s="4"/>
      <c r="G121" s="103"/>
    </row>
    <row r="122" spans="2:7" x14ac:dyDescent="0.2">
      <c r="B122" s="10"/>
      <c r="C122" s="10"/>
      <c r="D122" s="10"/>
      <c r="E122" s="10"/>
      <c r="F122" s="4"/>
      <c r="G122" s="103"/>
    </row>
    <row r="123" spans="2:7" x14ac:dyDescent="0.2">
      <c r="B123" s="10"/>
      <c r="C123" s="10"/>
      <c r="D123" s="10"/>
      <c r="E123" s="10"/>
      <c r="F123" s="4"/>
      <c r="G123" s="103"/>
    </row>
    <row r="124" spans="2:7" x14ac:dyDescent="0.2">
      <c r="B124" s="10"/>
      <c r="C124" s="10"/>
      <c r="D124" s="10"/>
      <c r="E124" s="10"/>
      <c r="F124" s="4"/>
      <c r="G124" s="103"/>
    </row>
    <row r="125" spans="2:7" x14ac:dyDescent="0.2">
      <c r="B125" s="10"/>
      <c r="C125" s="10"/>
      <c r="D125" s="10"/>
      <c r="E125" s="10"/>
      <c r="F125" s="4"/>
      <c r="G125" s="103"/>
    </row>
    <row r="126" spans="2:7" x14ac:dyDescent="0.2">
      <c r="B126" s="10"/>
      <c r="C126" s="10"/>
      <c r="D126" s="10"/>
      <c r="E126" s="10"/>
      <c r="F126" s="4"/>
      <c r="G126" s="103"/>
    </row>
    <row r="127" spans="2:7" x14ac:dyDescent="0.2">
      <c r="B127" s="10"/>
      <c r="C127" s="10"/>
      <c r="D127" s="10"/>
      <c r="E127" s="10"/>
      <c r="F127" s="4"/>
      <c r="G127" s="103"/>
    </row>
    <row r="128" spans="2:7" x14ac:dyDescent="0.2">
      <c r="B128" s="10"/>
      <c r="C128" s="10"/>
      <c r="D128" s="10"/>
      <c r="E128" s="10"/>
      <c r="F128" s="4"/>
      <c r="G128" s="103"/>
    </row>
    <row r="129" spans="2:7" x14ac:dyDescent="0.2">
      <c r="B129" s="10"/>
      <c r="C129" s="10"/>
      <c r="D129" s="10"/>
      <c r="E129" s="10"/>
      <c r="F129" s="4"/>
      <c r="G129" s="103"/>
    </row>
    <row r="130" spans="2:7" x14ac:dyDescent="0.2">
      <c r="B130" s="10"/>
      <c r="C130" s="10"/>
      <c r="D130" s="10"/>
      <c r="E130" s="10"/>
      <c r="F130" s="4"/>
      <c r="G130" s="103"/>
    </row>
    <row r="131" spans="2:7" x14ac:dyDescent="0.2">
      <c r="B131" s="10"/>
      <c r="C131" s="10"/>
      <c r="D131" s="10"/>
      <c r="E131" s="10"/>
      <c r="F131" s="4"/>
      <c r="G131" s="103"/>
    </row>
    <row r="132" spans="2:7" x14ac:dyDescent="0.2">
      <c r="B132" s="10"/>
      <c r="C132" s="10"/>
      <c r="D132" s="10"/>
      <c r="E132" s="10"/>
      <c r="F132" s="4"/>
      <c r="G132" s="103"/>
    </row>
    <row r="133" spans="2:7" x14ac:dyDescent="0.2">
      <c r="B133" s="10"/>
      <c r="C133" s="10"/>
      <c r="D133" s="10"/>
      <c r="E133" s="10"/>
      <c r="F133" s="4"/>
      <c r="G133" s="103"/>
    </row>
    <row r="134" spans="2:7" x14ac:dyDescent="0.2">
      <c r="B134" s="10"/>
      <c r="C134" s="10"/>
      <c r="D134" s="10"/>
      <c r="E134" s="10"/>
      <c r="F134" s="4"/>
      <c r="G134" s="103"/>
    </row>
    <row r="135" spans="2:7" x14ac:dyDescent="0.2">
      <c r="B135" s="10"/>
      <c r="C135" s="10"/>
      <c r="D135" s="10"/>
      <c r="E135" s="10"/>
      <c r="F135" s="4"/>
      <c r="G135" s="103"/>
    </row>
    <row r="136" spans="2:7" x14ac:dyDescent="0.2">
      <c r="B136" s="10"/>
      <c r="C136" s="10"/>
      <c r="D136" s="10"/>
      <c r="E136" s="10"/>
      <c r="F136" s="4"/>
      <c r="G136" s="103"/>
    </row>
    <row r="137" spans="2:7" x14ac:dyDescent="0.2">
      <c r="B137" s="10"/>
      <c r="C137" s="10"/>
      <c r="D137" s="10"/>
      <c r="E137" s="10"/>
      <c r="F137" s="4"/>
      <c r="G137" s="103"/>
    </row>
    <row r="138" spans="2:7" x14ac:dyDescent="0.2">
      <c r="B138" s="10"/>
      <c r="C138" s="10"/>
      <c r="D138" s="10"/>
      <c r="E138" s="10"/>
      <c r="F138" s="4"/>
      <c r="G138" s="103"/>
    </row>
    <row r="139" spans="2:7" x14ac:dyDescent="0.2">
      <c r="B139" s="10"/>
      <c r="C139" s="10"/>
      <c r="D139" s="10"/>
      <c r="E139" s="10"/>
      <c r="F139" s="4"/>
      <c r="G139" s="103"/>
    </row>
    <row r="140" spans="2:7" x14ac:dyDescent="0.2">
      <c r="B140" s="10"/>
      <c r="C140" s="10"/>
      <c r="D140" s="10"/>
      <c r="E140" s="10"/>
      <c r="F140" s="4"/>
      <c r="G140" s="103"/>
    </row>
    <row r="141" spans="2:7" x14ac:dyDescent="0.2">
      <c r="B141" s="10"/>
      <c r="C141" s="10"/>
      <c r="D141" s="10"/>
      <c r="E141" s="10"/>
      <c r="F141" s="4"/>
      <c r="G141" s="103"/>
    </row>
    <row r="142" spans="2:7" x14ac:dyDescent="0.2">
      <c r="B142" s="10"/>
      <c r="C142" s="10"/>
      <c r="D142" s="10"/>
      <c r="E142" s="10"/>
      <c r="F142" s="4"/>
      <c r="G142" s="103"/>
    </row>
    <row r="143" spans="2:7" x14ac:dyDescent="0.2">
      <c r="B143" s="10"/>
      <c r="C143" s="10"/>
      <c r="D143" s="10"/>
      <c r="E143" s="10"/>
      <c r="F143" s="4"/>
      <c r="G143" s="103"/>
    </row>
    <row r="144" spans="2:7" x14ac:dyDescent="0.2">
      <c r="B144" s="10"/>
      <c r="C144" s="10"/>
      <c r="D144" s="10"/>
      <c r="E144" s="10"/>
      <c r="F144" s="4"/>
      <c r="G144" s="103"/>
    </row>
    <row r="145" spans="2:7" x14ac:dyDescent="0.2">
      <c r="B145" s="10"/>
      <c r="C145" s="10"/>
      <c r="D145" s="10"/>
      <c r="E145" s="10"/>
      <c r="F145" s="4"/>
      <c r="G145" s="103"/>
    </row>
    <row r="146" spans="2:7" x14ac:dyDescent="0.2">
      <c r="B146" s="10"/>
      <c r="C146" s="10"/>
      <c r="D146" s="10"/>
      <c r="E146" s="10"/>
      <c r="F146" s="82"/>
      <c r="G146" s="103"/>
    </row>
    <row r="147" spans="2:7" x14ac:dyDescent="0.2">
      <c r="B147" s="10"/>
      <c r="C147" s="10"/>
      <c r="D147" s="10"/>
      <c r="E147" s="10"/>
      <c r="F147" s="82"/>
      <c r="G147" s="103"/>
    </row>
    <row r="148" spans="2:7" x14ac:dyDescent="0.2">
      <c r="B148" s="10"/>
      <c r="C148" s="10"/>
      <c r="D148" s="10"/>
      <c r="E148" s="10"/>
      <c r="F148" s="82"/>
      <c r="G148" s="103"/>
    </row>
    <row r="149" spans="2:7" x14ac:dyDescent="0.2">
      <c r="B149" s="10"/>
      <c r="C149" s="10"/>
      <c r="D149" s="10"/>
      <c r="E149" s="10"/>
      <c r="F149" s="82"/>
      <c r="G149" s="103"/>
    </row>
    <row r="150" spans="2:7" x14ac:dyDescent="0.2">
      <c r="B150" s="10"/>
      <c r="C150" s="10"/>
      <c r="D150" s="10"/>
      <c r="E150" s="10"/>
      <c r="F150" s="82"/>
      <c r="G150" s="103"/>
    </row>
    <row r="151" spans="2:7" x14ac:dyDescent="0.2">
      <c r="B151" s="10"/>
      <c r="C151" s="10"/>
      <c r="D151" s="10"/>
      <c r="E151" s="10"/>
      <c r="F151" s="82"/>
      <c r="G151" s="103"/>
    </row>
    <row r="152" spans="2:7" x14ac:dyDescent="0.2">
      <c r="B152" s="10"/>
      <c r="C152" s="10"/>
      <c r="D152" s="10"/>
      <c r="E152" s="10"/>
      <c r="F152" s="82"/>
      <c r="G152" s="103"/>
    </row>
    <row r="153" spans="2:7" x14ac:dyDescent="0.2">
      <c r="B153" s="10"/>
      <c r="C153" s="10"/>
      <c r="D153" s="10"/>
      <c r="E153" s="10"/>
      <c r="F153" s="82"/>
      <c r="G153" s="103"/>
    </row>
    <row r="154" spans="2:7" x14ac:dyDescent="0.2">
      <c r="B154" s="10"/>
      <c r="C154" s="10"/>
      <c r="D154" s="10"/>
      <c r="E154" s="10"/>
      <c r="F154" s="82"/>
      <c r="G154" s="103"/>
    </row>
    <row r="155" spans="2:7" x14ac:dyDescent="0.2">
      <c r="B155" s="10"/>
      <c r="C155" s="10"/>
      <c r="D155" s="10"/>
      <c r="E155" s="10"/>
      <c r="F155" s="82"/>
      <c r="G155" s="103"/>
    </row>
    <row r="156" spans="2:7" x14ac:dyDescent="0.2">
      <c r="B156" s="10"/>
      <c r="C156" s="10"/>
      <c r="D156" s="10"/>
      <c r="E156" s="10"/>
      <c r="F156" s="82"/>
      <c r="G156" s="103"/>
    </row>
    <row r="157" spans="2:7" x14ac:dyDescent="0.2">
      <c r="B157" s="10"/>
      <c r="C157" s="10"/>
      <c r="D157" s="10"/>
      <c r="E157" s="10"/>
      <c r="F157" s="82"/>
      <c r="G157" s="103"/>
    </row>
    <row r="158" spans="2:7" x14ac:dyDescent="0.2">
      <c r="B158" s="10"/>
      <c r="C158" s="10"/>
      <c r="D158" s="10"/>
      <c r="E158" s="10"/>
      <c r="F158" s="82"/>
      <c r="G158" s="103"/>
    </row>
    <row r="159" spans="2:7" x14ac:dyDescent="0.2">
      <c r="B159" s="10"/>
      <c r="C159" s="10"/>
      <c r="D159" s="10"/>
      <c r="E159" s="10"/>
      <c r="F159" s="82"/>
      <c r="G159" s="103"/>
    </row>
    <row r="160" spans="2:7" x14ac:dyDescent="0.2">
      <c r="B160" s="10"/>
      <c r="C160" s="10"/>
      <c r="D160" s="10"/>
      <c r="E160" s="10"/>
      <c r="F160" s="82"/>
      <c r="G160" s="103"/>
    </row>
    <row r="161" spans="2:8" x14ac:dyDescent="0.2">
      <c r="B161" s="10"/>
      <c r="C161" s="10"/>
      <c r="D161" s="10"/>
      <c r="E161" s="10"/>
      <c r="F161" s="82"/>
      <c r="G161" s="103"/>
    </row>
    <row r="162" spans="2:8" x14ac:dyDescent="0.2">
      <c r="B162" s="10"/>
      <c r="C162" s="10"/>
      <c r="D162" s="10"/>
      <c r="E162" s="10"/>
      <c r="F162" s="82"/>
      <c r="G162" s="103"/>
    </row>
    <row r="163" spans="2:8" x14ac:dyDescent="0.2">
      <c r="B163" s="10"/>
      <c r="C163" s="10"/>
      <c r="D163" s="10"/>
      <c r="E163" s="10"/>
      <c r="F163" s="82"/>
      <c r="G163" s="103"/>
    </row>
    <row r="164" spans="2:8" x14ac:dyDescent="0.2">
      <c r="B164" s="10"/>
      <c r="C164" s="10"/>
      <c r="D164" s="10"/>
      <c r="E164" s="10"/>
      <c r="F164" s="82"/>
      <c r="G164" s="103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2:14" x14ac:dyDescent="0.2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2:14" x14ac:dyDescent="0.2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2:14" x14ac:dyDescent="0.2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2:14" x14ac:dyDescent="0.2"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2:14" x14ac:dyDescent="0.2">
      <c r="C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2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2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2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2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2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2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2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2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2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2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2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E269" s="10"/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E270" s="10"/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E271" s="10"/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E272" s="10"/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5:21" x14ac:dyDescent="0.2"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5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5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5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5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5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5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5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5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5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5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5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5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5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5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5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W73"/>
  <sheetViews>
    <sheetView zoomScaleNormal="100" workbookViewId="0">
      <selection activeCell="G33" sqref="G33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'1202'!D8</f>
        <v>0.17680530761681343</v>
      </c>
      <c r="E2" s="2">
        <f>SUM(D3:D5)</f>
        <v>5.9000710966254157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'1202'!D11</f>
        <v>5.5578053980165407</v>
      </c>
      <c r="D3" s="10">
        <f>$D$2*G43</f>
        <v>1.4310777552015482E-2</v>
      </c>
      <c r="E3" s="10"/>
      <c r="F3" s="11">
        <f>SQRT(D3)</f>
        <v>0.11962766215226094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'1202'!D12</f>
        <v>0.2801840436239566</v>
      </c>
      <c r="D4" s="10">
        <f>$D$2*H44</f>
        <v>1.6475057450660011E-3</v>
      </c>
      <c r="E4" s="10"/>
      <c r="F4" s="11">
        <f>SQRT(D4)</f>
        <v>4.0589478255651443E-2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'1202'!D13</f>
        <v>5.2386852094652747</v>
      </c>
      <c r="D5" s="10">
        <f>$D$2*I45</f>
        <v>5.8841128133283345</v>
      </c>
      <c r="E5" s="10"/>
      <c r="F5" s="11">
        <f>SQRT(D5)</f>
        <v>2.4257190301698865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5.5578053980165408E-4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2.8018404362395661E-5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5.2386852094652749E-4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'1202'!B18</f>
        <v>0</v>
      </c>
      <c r="B22" s="4">
        <f>Q_LA($C$3,$C$4,$C$5,A22,$I$7)</f>
        <v>1.9004935801535092E-2</v>
      </c>
      <c r="C22" s="35">
        <f>Q_Lumax($C$3,$C$4,$C$5,A22,$I$8)</f>
        <v>-0.30150968875687173</v>
      </c>
      <c r="D22" s="36">
        <f>Q_Llameda($C$3,$C$4,$C$5,A22,$I$9)</f>
        <v>-1.612584081881183E-2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'1202'!B19</f>
        <v>2.3333333334303461</v>
      </c>
      <c r="B23" s="4">
        <f t="shared" ref="B23:B43" si="0">Q_LA($C$3,$C$4,$C$5,A23,$I$7)</f>
        <v>4.5607479663361962E-2</v>
      </c>
      <c r="C23" s="35">
        <f t="shared" ref="C23:C39" si="1">Q_Lumax($C$3,$C$4,$C$5,A23,$I$8)</f>
        <v>-0.55820812723427682</v>
      </c>
      <c r="D23" s="36">
        <f t="shared" ref="D23:D39" si="2">Q_Llameda($C$3,$C$4,$C$5,A23,$I$9)</f>
        <v>-5.382941427203685E-2</v>
      </c>
      <c r="E23" s="37">
        <v>2</v>
      </c>
      <c r="F23" s="40">
        <v>1</v>
      </c>
      <c r="G23" s="42">
        <v>4.5856142694016548E-2</v>
      </c>
      <c r="H23" s="42">
        <v>6.4229371656374726E-2</v>
      </c>
      <c r="I23" s="42">
        <v>6.2607571147771421E-2</v>
      </c>
      <c r="J23" s="42">
        <v>4.9660345080208709E-2</v>
      </c>
      <c r="K23" s="42">
        <v>0.21854126364690715</v>
      </c>
      <c r="L23" s="42">
        <v>0.30671188100164809</v>
      </c>
      <c r="M23" s="42">
        <v>0.47394159180846013</v>
      </c>
      <c r="N23" s="42">
        <v>0.55595127447250059</v>
      </c>
      <c r="O23" s="42">
        <v>0.59205234542901386</v>
      </c>
      <c r="P23" s="42">
        <v>0.90078868111108212</v>
      </c>
      <c r="Q23" s="42">
        <v>0.92940604623893419</v>
      </c>
      <c r="R23" s="42">
        <v>0.94160115912764675</v>
      </c>
      <c r="S23" s="42">
        <v>0.95731938394528582</v>
      </c>
      <c r="T23" s="42">
        <v>0.99207822248422872</v>
      </c>
      <c r="U23" s="42">
        <v>0.99708916106262191</v>
      </c>
      <c r="V23" s="42">
        <v>0.99945726843507965</v>
      </c>
      <c r="W23" s="42">
        <v>0.99963735864959635</v>
      </c>
      <c r="X23" s="42">
        <v>0.99976476901326439</v>
      </c>
      <c r="Y23" s="42">
        <v>0.9998118942669515</v>
      </c>
      <c r="Z23" s="42">
        <v>0.99983960340747569</v>
      </c>
      <c r="AA23" s="42">
        <v>0.99999857989459373</v>
      </c>
      <c r="AB23" s="42">
        <v>0.9999998743097952</v>
      </c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'1202'!B20</f>
        <v>4.4166666667442769</v>
      </c>
      <c r="B24" s="4">
        <f t="shared" si="0"/>
        <v>6.4074926950049363E-2</v>
      </c>
      <c r="C24" s="35">
        <f t="shared" si="1"/>
        <v>-0.32440713214537542</v>
      </c>
      <c r="D24" s="36">
        <f t="shared" si="2"/>
        <v>-0.11056695131667209</v>
      </c>
      <c r="E24" s="37">
        <v>3</v>
      </c>
      <c r="F24" s="43">
        <v>2</v>
      </c>
      <c r="G24" s="42">
        <v>-0.62218562881964834</v>
      </c>
      <c r="H24" s="42">
        <v>-0.34926009757314685</v>
      </c>
      <c r="I24" s="42">
        <v>0.73819002797271771</v>
      </c>
      <c r="J24" s="42">
        <v>2.0767140639446402</v>
      </c>
      <c r="K24" s="42">
        <v>11.043830130970202</v>
      </c>
      <c r="L24" s="42">
        <v>10.327704694217491</v>
      </c>
      <c r="M24" s="42">
        <v>8.4214413896164082</v>
      </c>
      <c r="N24" s="42">
        <v>7.3139487368423817</v>
      </c>
      <c r="O24" s="42">
        <v>6.798738783573091</v>
      </c>
      <c r="P24" s="42">
        <v>1.828113377569766</v>
      </c>
      <c r="Q24" s="42">
        <v>1.317472483104104</v>
      </c>
      <c r="R24" s="42">
        <v>1.0966832775388389</v>
      </c>
      <c r="S24" s="42">
        <v>0.80891183828377256</v>
      </c>
      <c r="T24" s="42">
        <v>0.155411069570042</v>
      </c>
      <c r="U24" s="42">
        <v>5.7883101280488548E-2</v>
      </c>
      <c r="V24" s="42">
        <v>1.0971848742102577E-2</v>
      </c>
      <c r="W24" s="42">
        <v>7.3543434284137031E-3</v>
      </c>
      <c r="X24" s="42">
        <v>4.7854175168369597E-3</v>
      </c>
      <c r="Y24" s="42">
        <v>3.83254608753144E-3</v>
      </c>
      <c r="Z24" s="42">
        <v>3.2714093931008846E-3</v>
      </c>
      <c r="AA24" s="42">
        <v>2.9594629039449281E-5</v>
      </c>
      <c r="AB24" s="42">
        <v>2.6371113393154235E-6</v>
      </c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'1202'!B21</f>
        <v>0</v>
      </c>
      <c r="B25" s="4">
        <f t="shared" si="0"/>
        <v>1.9004935801535092E-2</v>
      </c>
      <c r="C25" s="35">
        <f t="shared" si="1"/>
        <v>-0.30150968875687173</v>
      </c>
      <c r="D25" s="36">
        <f t="shared" si="2"/>
        <v>-1.612584081881183E-2</v>
      </c>
      <c r="E25" s="37">
        <v>4</v>
      </c>
      <c r="F25" s="43">
        <v>3</v>
      </c>
      <c r="G25" s="42">
        <v>-4.8885018743837383E-2</v>
      </c>
      <c r="H25" s="42">
        <v>-0.10048682703381472</v>
      </c>
      <c r="I25" s="42">
        <v>-0.15426306297490516</v>
      </c>
      <c r="J25" s="42">
        <v>-0.19113231739145992</v>
      </c>
      <c r="K25" s="42">
        <v>-0.16267017832707545</v>
      </c>
      <c r="L25" s="42">
        <v>-0.13562411295686366</v>
      </c>
      <c r="M25" s="42">
        <v>-9.1532272795212158E-2</v>
      </c>
      <c r="N25" s="42">
        <v>-7.2708109890763886E-2</v>
      </c>
      <c r="O25" s="42">
        <v>-6.4942183939898937E-2</v>
      </c>
      <c r="P25" s="42">
        <v>-1.1124185828279145E-2</v>
      </c>
      <c r="Q25" s="42">
        <v>-7.4204382726260881E-3</v>
      </c>
      <c r="R25" s="42">
        <v>-5.9340630810160635E-3</v>
      </c>
      <c r="S25" s="42">
        <v>-4.1124243221665469E-3</v>
      </c>
      <c r="T25" s="42">
        <v>-6.0056606654796264E-4</v>
      </c>
      <c r="U25" s="42">
        <v>-1.963742500779279E-4</v>
      </c>
      <c r="V25" s="42">
        <v>-3.0978625751774494E-5</v>
      </c>
      <c r="W25" s="42">
        <v>-1.9968298603025297E-5</v>
      </c>
      <c r="X25" s="42">
        <v>-1.2480988371568687E-5</v>
      </c>
      <c r="Y25" s="42">
        <v>-9.7967693262200548E-6</v>
      </c>
      <c r="Z25" s="42">
        <v>-8.2455324173963354E-6</v>
      </c>
      <c r="AA25" s="42">
        <v>-5.2935901406143533E-8</v>
      </c>
      <c r="AB25" s="42">
        <v>-4.1117949657377703E-9</v>
      </c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'1202'!B22</f>
        <v>20.333333333430346</v>
      </c>
      <c r="B26" s="4">
        <f t="shared" si="0"/>
        <v>0.2052462600538946</v>
      </c>
      <c r="C26" s="35">
        <f t="shared" si="1"/>
        <v>9.9965760991944261</v>
      </c>
      <c r="D26" s="36">
        <f t="shared" si="2"/>
        <v>-0.18557155339411896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'1202'!B23</f>
        <v>22.416666666744277</v>
      </c>
      <c r="B27" s="4">
        <f t="shared" si="0"/>
        <v>0.30289711612615872</v>
      </c>
      <c r="C27" s="35">
        <f t="shared" si="1"/>
        <v>9.3122884644365467</v>
      </c>
      <c r="D27" s="36">
        <f t="shared" si="2"/>
        <v>-0.151906784801182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'1202'!B24</f>
        <v>26.416666666686069</v>
      </c>
      <c r="B28" s="4">
        <f t="shared" si="0"/>
        <v>0.48822206623020326</v>
      </c>
      <c r="C28" s="35">
        <f t="shared" si="1"/>
        <v>7.3997442491646153</v>
      </c>
      <c r="D28" s="36">
        <f t="shared" si="2"/>
        <v>-9.7913465179589043E-2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'1202'!B25</f>
        <v>28.583333333430346</v>
      </c>
      <c r="B29" s="4">
        <f t="shared" si="0"/>
        <v>0.57742237641876604</v>
      </c>
      <c r="C29" s="35">
        <f t="shared" si="1"/>
        <v>6.2981851182175772</v>
      </c>
      <c r="D29" s="36">
        <f t="shared" si="2"/>
        <v>-7.5604406668599675E-2</v>
      </c>
      <c r="E29" s="37">
        <v>8</v>
      </c>
    </row>
    <row r="30" spans="1:49" ht="13.5" thickBot="1" x14ac:dyDescent="0.25">
      <c r="A30" s="34">
        <f>'1202'!B26</f>
        <v>29.616666666639503</v>
      </c>
      <c r="B30" s="4">
        <f t="shared" si="0"/>
        <v>0.61610829055343719</v>
      </c>
      <c r="C30" s="35">
        <f t="shared" si="1"/>
        <v>5.7927389204065642</v>
      </c>
      <c r="D30" s="36">
        <f t="shared" si="2"/>
        <v>-6.6590037160866158E-2</v>
      </c>
      <c r="E30" s="37">
        <v>9</v>
      </c>
      <c r="J30" s="48"/>
      <c r="K30" s="49"/>
      <c r="L30" s="49"/>
    </row>
    <row r="31" spans="1:49" ht="13.5" thickBot="1" x14ac:dyDescent="0.25">
      <c r="A31" s="34">
        <f>'1202'!B27</f>
        <v>44.666666666627862</v>
      </c>
      <c r="B31" s="4">
        <f t="shared" si="0"/>
        <v>0.92248876414386205</v>
      </c>
      <c r="C31" s="35">
        <f t="shared" si="1"/>
        <v>1.2955272049747608</v>
      </c>
      <c r="D31" s="36">
        <f t="shared" si="2"/>
        <v>-9.2090891065858306E-3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'1202'!B28</f>
        <v>48</v>
      </c>
      <c r="B32" s="4">
        <f t="shared" si="0"/>
        <v>0.94719192874537284</v>
      </c>
      <c r="C32" s="35">
        <f t="shared" si="1"/>
        <v>0.89382398470605351</v>
      </c>
      <c r="D32" s="36">
        <f t="shared" si="2"/>
        <v>-5.8584951313232266E-3</v>
      </c>
      <c r="E32" s="37">
        <v>11</v>
      </c>
      <c r="F32" s="50"/>
      <c r="G32" s="106">
        <v>1</v>
      </c>
      <c r="H32" s="107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'1202'!B29</f>
        <v>49.833333333372138</v>
      </c>
      <c r="B33" s="4">
        <f t="shared" si="0"/>
        <v>0.95735143389512589</v>
      </c>
      <c r="C33" s="35">
        <f t="shared" si="1"/>
        <v>0.72630165114519574</v>
      </c>
      <c r="D33" s="36">
        <f t="shared" si="2"/>
        <v>-4.5648349270263492E-3</v>
      </c>
      <c r="E33" s="37">
        <v>12</v>
      </c>
      <c r="F33" s="52">
        <v>1</v>
      </c>
      <c r="G33" s="53">
        <f t="array" ref="G33:I35">MMULT(G23:AB25,B22:D43)</f>
        <v>13.586214032776242</v>
      </c>
      <c r="H33" s="54">
        <v>18.685142074247675</v>
      </c>
      <c r="I33" s="55">
        <v>-0.24835803715742902</v>
      </c>
      <c r="J33" s="48"/>
      <c r="K33" s="48"/>
      <c r="L33" s="48"/>
    </row>
    <row r="34" spans="1:12" ht="13.5" thickBot="1" x14ac:dyDescent="0.25">
      <c r="A34" s="34">
        <f>'1202'!B30</f>
        <v>52.833333333372138</v>
      </c>
      <c r="B34" s="4">
        <f t="shared" si="0"/>
        <v>0.9700364035068334</v>
      </c>
      <c r="C34" s="35">
        <f t="shared" si="1"/>
        <v>0.51490139473551932</v>
      </c>
      <c r="D34" s="36">
        <f t="shared" si="2"/>
        <v>-3.0322564387395591E-3</v>
      </c>
      <c r="E34" s="37">
        <v>13</v>
      </c>
      <c r="F34" s="62">
        <v>2</v>
      </c>
      <c r="G34" s="56">
        <v>22.989130524480739</v>
      </c>
      <c r="H34" s="57">
        <v>358.62949188836808</v>
      </c>
      <c r="I34" s="58">
        <v>-5.5668852156033175</v>
      </c>
      <c r="J34" s="48"/>
      <c r="K34" s="48"/>
      <c r="L34" s="48"/>
    </row>
    <row r="35" spans="1:12" ht="13.5" thickBot="1" x14ac:dyDescent="0.25">
      <c r="A35" s="34">
        <f>'1202'!B31</f>
        <v>68.500000000116415</v>
      </c>
      <c r="B35" s="4">
        <f t="shared" si="0"/>
        <v>0.99548430773542773</v>
      </c>
      <c r="C35" s="35">
        <f t="shared" si="1"/>
        <v>8.0242560253628206E-2</v>
      </c>
      <c r="D35" s="36">
        <f t="shared" si="2"/>
        <v>-3.5556064868339632E-4</v>
      </c>
      <c r="E35" s="37">
        <v>14</v>
      </c>
      <c r="F35" s="63">
        <v>3</v>
      </c>
      <c r="G35" s="59">
        <v>-0.24801539677103407</v>
      </c>
      <c r="H35" s="60">
        <v>-4.2495744531076385</v>
      </c>
      <c r="I35" s="61">
        <v>9.6094712055537101E-2</v>
      </c>
      <c r="J35" s="48"/>
      <c r="K35" s="48"/>
      <c r="L35" s="48"/>
    </row>
    <row r="36" spans="1:12" ht="13.5" thickBot="1" x14ac:dyDescent="0.25">
      <c r="A36" s="34">
        <f>'1202'!B32</f>
        <v>77.583333333372138</v>
      </c>
      <c r="B36" s="4">
        <f t="shared" si="0"/>
        <v>0.99853143079816964</v>
      </c>
      <c r="C36" s="35">
        <f t="shared" si="1"/>
        <v>2.6436573195457041E-2</v>
      </c>
      <c r="D36" s="36">
        <f t="shared" si="2"/>
        <v>-1.0244080146118995E-4</v>
      </c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>
        <f>'1202'!B33</f>
        <v>92.583333333372138</v>
      </c>
      <c r="B37" s="4">
        <f t="shared" si="0"/>
        <v>0.99977652978256104</v>
      </c>
      <c r="C37" s="35">
        <f t="shared" si="1"/>
        <v>4.086315778784373E-3</v>
      </c>
      <c r="D37" s="36">
        <f t="shared" si="2"/>
        <v>-1.3116396263775902E-5</v>
      </c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>
        <f>'1202'!B34</f>
        <v>96.149999999965075</v>
      </c>
      <c r="B38" s="4">
        <f t="shared" si="0"/>
        <v>0.99985775650148134</v>
      </c>
      <c r="C38" s="35">
        <f t="shared" si="1"/>
        <v>2.6087915638570236E-3</v>
      </c>
      <c r="D38" s="36">
        <f t="shared" si="2"/>
        <v>-8.0454607991840476E-6</v>
      </c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>
        <f>'1202'!B35</f>
        <v>99.966666666674428</v>
      </c>
      <c r="B39" s="4">
        <f t="shared" si="0"/>
        <v>0.99991240914381829</v>
      </c>
      <c r="C39" s="35">
        <f t="shared" si="1"/>
        <v>1.611184547299087E-3</v>
      </c>
      <c r="D39" s="36">
        <f t="shared" si="2"/>
        <v>-4.7687857634018224E-6</v>
      </c>
      <c r="E39" s="37">
        <v>18</v>
      </c>
    </row>
    <row r="40" spans="1:12" ht="13.5" thickBot="1" x14ac:dyDescent="0.25">
      <c r="A40" s="34">
        <f>'1202'!B36</f>
        <v>101.93333333329065</v>
      </c>
      <c r="B40" s="4">
        <f>Q_LA($C$3,$C$4,$C$5,A40,$I$7)</f>
        <v>0.9999318112082024</v>
      </c>
      <c r="C40" s="35">
        <f>Q_Lumax($C$3,$C$4,$C$5,A40,$I$8)</f>
        <v>1.2560881226496492E-3</v>
      </c>
      <c r="D40" s="36">
        <f>Q_Llameda($C$3,$C$4,$C$5,A40,$I$9)</f>
        <v>-3.6422047121684365E-6</v>
      </c>
      <c r="E40" s="37">
        <v>19</v>
      </c>
      <c r="K40" s="64"/>
      <c r="L40" s="64"/>
    </row>
    <row r="41" spans="1:12" ht="13.5" thickBot="1" x14ac:dyDescent="0.25">
      <c r="A41" s="34">
        <f>'1202'!B37</f>
        <v>103.33333333331393</v>
      </c>
      <c r="B41" s="4">
        <f t="shared" si="0"/>
        <v>0.99994295656607457</v>
      </c>
      <c r="C41" s="35">
        <f t="shared" ref="C41:C43" si="3">Q_Lumax($C$3,$C$4,$C$5,A41,$I$8)</f>
        <v>1.0518157085763207E-3</v>
      </c>
      <c r="D41" s="36">
        <f t="shared" ref="D41:D43" si="4">Q_Llameda($C$3,$C$4,$C$5,A41,$I$9)</f>
        <v>-3.0063891029852308E-6</v>
      </c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>
        <f>'1202'!B38</f>
        <v>144.33333333337214</v>
      </c>
      <c r="B42" s="4">
        <f t="shared" si="0"/>
        <v>0.99999971228335882</v>
      </c>
      <c r="C42" s="35">
        <f t="shared" si="3"/>
        <v>5.4126494380984943E-6</v>
      </c>
      <c r="D42" s="36">
        <f t="shared" si="4"/>
        <v>-1.0913433922847361E-8</v>
      </c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>
        <f>'1202'!B39</f>
        <v>165.08333333343035</v>
      </c>
      <c r="B43" s="4">
        <f t="shared" si="0"/>
        <v>0.99999998087165276</v>
      </c>
      <c r="C43" s="35">
        <f t="shared" si="3"/>
        <v>3.6210706209420429E-7</v>
      </c>
      <c r="D43" s="36">
        <f t="shared" si="4"/>
        <v>-6.3578339615780023E-10</v>
      </c>
      <c r="E43" s="37">
        <v>22</v>
      </c>
      <c r="F43" s="71">
        <v>1</v>
      </c>
      <c r="G43" s="72">
        <f t="array" ref="G43:I45">MINVERSE(G33:I35)</f>
        <v>8.0940882063512146E-2</v>
      </c>
      <c r="H43" s="73">
        <v>-5.5440782448726291E-3</v>
      </c>
      <c r="I43" s="74">
        <v>-0.11198252630410534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-6.2057568876204361E-3</v>
      </c>
      <c r="H44" s="76">
        <v>9.318191672371098E-3</v>
      </c>
      <c r="I44" s="77">
        <v>0.5237754792199808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-6.5531607485432686E-2</v>
      </c>
      <c r="H45" s="76">
        <v>0.39776728289009256</v>
      </c>
      <c r="I45" s="78">
        <v>33.28018198458642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84.13845369998846</v>
      </c>
      <c r="D6" s="126">
        <f>SUM(E18:E86)</f>
        <v>2.457002060360042</v>
      </c>
      <c r="E6" s="111">
        <f>$C$6-$D$6</f>
        <v>81.68145163962842</v>
      </c>
      <c r="F6" s="112">
        <f>$E$6/$C$6</f>
        <v>0.97079810773417652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0.98529087468329701</v>
      </c>
      <c r="D8" s="2">
        <f>D6/(COUNT(E18:E51)-COUNT(D11:D13)-1)</f>
        <v>0.12931589791368642</v>
      </c>
      <c r="E8" s="2">
        <f>(E6/1)</f>
        <v>81.68145163962842</v>
      </c>
      <c r="F8" s="2">
        <f>E8/D8</f>
        <v>631.64276749752582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5.4201918280185124</v>
      </c>
      <c r="E11" s="163">
        <f>ERROS_1239!F3</f>
        <v>9.4568731619664503E-2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1">
        <v>0.34495850863847133</v>
      </c>
      <c r="E12" s="163">
        <f>ERROS_1239!F4</f>
        <v>4.7842330370193871E-2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4.3585023662342799</v>
      </c>
      <c r="E13" s="163">
        <f>ERROS_1239!F5</f>
        <v>1.218757813984815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6">
        <v>0</v>
      </c>
      <c r="C18" s="144">
        <v>0.40250000000000002</v>
      </c>
      <c r="D18" s="132">
        <f>$C$18+$D$11*EXP(-EXP(($D$12*EXP(1))/$D$11*($D$13-B18)+1))</f>
        <v>0.41927840498235697</v>
      </c>
      <c r="E18" s="133">
        <f>(C18-D18)^2</f>
        <v>2.8151487375198029E-4</v>
      </c>
      <c r="F18" s="94">
        <v>0</v>
      </c>
      <c r="G18" s="94">
        <f>$C$18+$D$11*EXP(-EXP(($D$12*EXP(1))/$D$11*($D$13-F18)+1))</f>
        <v>0.41927840498235697</v>
      </c>
      <c r="H18" s="95"/>
      <c r="I18" s="95"/>
      <c r="K18" s="4"/>
      <c r="L18" s="4"/>
      <c r="M18" s="4"/>
      <c r="N18" s="122"/>
      <c r="O18" s="122"/>
    </row>
    <row r="19" spans="2:15" ht="13.5" customHeight="1" x14ac:dyDescent="0.2">
      <c r="B19" s="136">
        <v>2.3333333334303461</v>
      </c>
      <c r="C19" s="144">
        <v>0.40666666666666668</v>
      </c>
      <c r="D19" s="132">
        <f t="shared" ref="D19:D40" si="0">$C$18+$D$11*EXP(-EXP(($D$12*EXP(1))/$D$11*($D$13-B19)+1))</f>
        <v>0.51683039211485771</v>
      </c>
      <c r="E19" s="133">
        <f t="shared" ref="E19" si="1">(C19-D19)^2</f>
        <v>1.2136046404624411E-2</v>
      </c>
      <c r="F19" s="94">
        <v>1</v>
      </c>
      <c r="G19" s="94">
        <f t="shared" ref="G19:G61" si="2">$C$18+$D$11*EXP(-EXP(($D$12*EXP(1))/$D$11*($D$13-F19)+1))</f>
        <v>0.44451252894880872</v>
      </c>
      <c r="H19" s="95"/>
      <c r="I19" s="95"/>
      <c r="J19" s="95"/>
      <c r="K19" s="150"/>
      <c r="L19" s="150"/>
      <c r="M19" s="150"/>
      <c r="N19" s="4"/>
    </row>
    <row r="20" spans="2:15" x14ac:dyDescent="0.2">
      <c r="B20" s="136">
        <v>4.4166666667442769</v>
      </c>
      <c r="C20" s="144">
        <v>0.6</v>
      </c>
      <c r="D20" s="132">
        <f t="shared" si="0"/>
        <v>0.77003554784125616</v>
      </c>
      <c r="E20" s="133">
        <f t="shared" ref="E20:E40" si="3">(C20-D20)^2</f>
        <v>2.8912087529676122E-2</v>
      </c>
      <c r="F20" s="94">
        <v>2</v>
      </c>
      <c r="G20" s="94">
        <f t="shared" si="2"/>
        <v>0.49342428189268256</v>
      </c>
      <c r="H20" s="95"/>
      <c r="I20" s="95"/>
      <c r="J20" s="95"/>
      <c r="K20" s="147"/>
      <c r="L20" s="147"/>
      <c r="M20" s="147"/>
      <c r="N20" s="122"/>
    </row>
    <row r="21" spans="2:15" x14ac:dyDescent="0.2">
      <c r="B21" s="136">
        <v>5.9500000000116415</v>
      </c>
      <c r="C21" s="130">
        <v>1.1933333333333334</v>
      </c>
      <c r="D21" s="132">
        <f t="shared" si="0"/>
        <v>1.0905321191097983</v>
      </c>
      <c r="E21" s="133">
        <f t="shared" si="3"/>
        <v>1.0568089645833147E-2</v>
      </c>
      <c r="F21" s="94">
        <v>3</v>
      </c>
      <c r="G21" s="94">
        <f t="shared" si="2"/>
        <v>0.57656607793392434</v>
      </c>
      <c r="H21" s="95"/>
      <c r="I21" s="95"/>
      <c r="J21" s="95"/>
      <c r="K21" s="147"/>
      <c r="L21" s="124"/>
      <c r="M21" s="124"/>
      <c r="N21" s="122"/>
    </row>
    <row r="22" spans="2:15" x14ac:dyDescent="0.2">
      <c r="B22" s="136">
        <v>20.333333333430346</v>
      </c>
      <c r="C22" s="130">
        <v>5.3233333333333333</v>
      </c>
      <c r="D22" s="132">
        <f t="shared" si="0"/>
        <v>4.9688448538158925</v>
      </c>
      <c r="E22" s="133">
        <f t="shared" si="3"/>
        <v>0.12566208211058702</v>
      </c>
      <c r="F22" s="94">
        <v>4</v>
      </c>
      <c r="G22" s="94">
        <f t="shared" si="2"/>
        <v>0.70306867512601889</v>
      </c>
      <c r="H22" s="95"/>
      <c r="I22" s="95"/>
      <c r="J22" s="95"/>
      <c r="K22" s="148"/>
      <c r="L22" s="124"/>
      <c r="M22" s="124"/>
      <c r="N22" s="4"/>
    </row>
    <row r="23" spans="2:15" x14ac:dyDescent="0.2">
      <c r="B23" s="138">
        <v>22.416666666744277</v>
      </c>
      <c r="C23" s="130">
        <v>5.0333333333333341</v>
      </c>
      <c r="D23" s="132">
        <f t="shared" si="0"/>
        <v>5.2119691334638842</v>
      </c>
      <c r="E23" s="133">
        <f t="shared" si="3"/>
        <v>3.1910749088281856E-2</v>
      </c>
      <c r="F23" s="94">
        <v>5</v>
      </c>
      <c r="G23" s="94">
        <f t="shared" si="2"/>
        <v>0.87836787567627783</v>
      </c>
      <c r="H23" s="95"/>
      <c r="I23" s="95"/>
      <c r="J23" s="95"/>
      <c r="K23" s="148"/>
      <c r="L23" s="124"/>
      <c r="M23" s="124"/>
      <c r="N23" s="4"/>
    </row>
    <row r="24" spans="2:15" x14ac:dyDescent="0.2">
      <c r="B24" s="138">
        <v>26.416666666686069</v>
      </c>
      <c r="C24" s="130">
        <v>5.7466666666666661</v>
      </c>
      <c r="D24" s="132">
        <f t="shared" si="0"/>
        <v>5.5078571286648952</v>
      </c>
      <c r="E24" s="133">
        <f t="shared" si="3"/>
        <v>5.7029995440619291E-2</v>
      </c>
      <c r="F24" s="94">
        <v>6</v>
      </c>
      <c r="G24" s="94">
        <f t="shared" si="2"/>
        <v>1.1028726773955242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38">
        <v>28.583333333430346</v>
      </c>
      <c r="C25" s="130">
        <v>5.2666666666666666</v>
      </c>
      <c r="D25" s="132">
        <f t="shared" si="0"/>
        <v>5.6042568876317587</v>
      </c>
      <c r="E25" s="133">
        <f t="shared" si="3"/>
        <v>0.11396715729125968</v>
      </c>
      <c r="F25" s="94">
        <v>7</v>
      </c>
      <c r="G25" s="94">
        <f t="shared" si="2"/>
        <v>1.3719112626274361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38">
        <v>29.616666666639503</v>
      </c>
      <c r="C26" s="130">
        <v>5.12</v>
      </c>
      <c r="D26" s="132">
        <f t="shared" si="0"/>
        <v>5.6394023079131843</v>
      </c>
      <c r="E26" s="133">
        <f t="shared" si="3"/>
        <v>0.2697787574655422</v>
      </c>
      <c r="F26" s="94">
        <v>8</v>
      </c>
      <c r="G26" s="94">
        <f t="shared" si="2"/>
        <v>1.6767624570792672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38">
        <v>44.666666666627862</v>
      </c>
      <c r="C27" s="130">
        <v>5.4533333333333331</v>
      </c>
      <c r="D27" s="132">
        <f t="shared" si="0"/>
        <v>5.8089108107954548</v>
      </c>
      <c r="E27" s="133">
        <f t="shared" si="3"/>
        <v>0.12643534247832564</v>
      </c>
      <c r="F27" s="94">
        <v>9</v>
      </c>
      <c r="G27" s="94">
        <f t="shared" si="2"/>
        <v>2.0062794780967579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38">
        <v>48</v>
      </c>
      <c r="C28" s="130">
        <v>5.413333333333334</v>
      </c>
      <c r="D28" s="132">
        <f t="shared" si="0"/>
        <v>5.8149457839086995</v>
      </c>
      <c r="E28" s="133">
        <f t="shared" si="3"/>
        <v>0.16129256045715043</v>
      </c>
      <c r="F28" s="94">
        <v>10</v>
      </c>
      <c r="G28" s="94">
        <f t="shared" si="2"/>
        <v>2.3485872430029828</v>
      </c>
      <c r="H28" s="95"/>
      <c r="I28" s="95"/>
      <c r="J28" s="122"/>
      <c r="K28" s="122"/>
      <c r="L28" s="122"/>
    </row>
    <row r="29" spans="2:15" x14ac:dyDescent="0.2">
      <c r="B29" s="138">
        <v>49.833333333372138</v>
      </c>
      <c r="C29" s="130">
        <v>5.5266666666666664</v>
      </c>
      <c r="D29" s="132">
        <f t="shared" si="0"/>
        <v>5.8170499923186334</v>
      </c>
      <c r="E29" s="133">
        <f t="shared" si="3"/>
        <v>8.4322475816696316E-2</v>
      </c>
      <c r="F29" s="94">
        <v>15</v>
      </c>
      <c r="G29" s="94">
        <f t="shared" si="2"/>
        <v>3.9238492550455364</v>
      </c>
      <c r="H29" s="95"/>
      <c r="I29" s="95"/>
      <c r="J29" s="122"/>
      <c r="K29" s="122"/>
      <c r="L29" s="122"/>
    </row>
    <row r="30" spans="2:15" x14ac:dyDescent="0.2">
      <c r="B30" s="138">
        <v>52.833333333372138</v>
      </c>
      <c r="C30" s="130">
        <v>5.8666666666666671</v>
      </c>
      <c r="D30" s="132">
        <f t="shared" si="0"/>
        <v>5.8193335793931356</v>
      </c>
      <c r="E30" s="133">
        <f t="shared" si="3"/>
        <v>2.2404211508437574E-3</v>
      </c>
      <c r="F30" s="94">
        <v>20</v>
      </c>
      <c r="G30" s="94">
        <f t="shared" si="2"/>
        <v>4.9226146825772581</v>
      </c>
      <c r="H30" s="95"/>
      <c r="I30" s="95"/>
      <c r="J30" s="122"/>
      <c r="K30" s="122"/>
      <c r="L30" s="122"/>
    </row>
    <row r="31" spans="2:15" x14ac:dyDescent="0.2">
      <c r="B31" s="138">
        <v>68.500000000116415</v>
      </c>
      <c r="C31" s="130">
        <v>5.8266666666666671</v>
      </c>
      <c r="D31" s="132">
        <f t="shared" si="0"/>
        <v>5.8224683915402826</v>
      </c>
      <c r="E31" s="133">
        <f t="shared" si="3"/>
        <v>1.7625514036818683E-5</v>
      </c>
      <c r="F31" s="94">
        <v>25</v>
      </c>
      <c r="G31" s="94">
        <f t="shared" si="2"/>
        <v>5.4237099335905388</v>
      </c>
      <c r="H31" s="95"/>
      <c r="I31" s="95"/>
      <c r="J31" s="122"/>
      <c r="K31" s="122"/>
    </row>
    <row r="32" spans="2:15" x14ac:dyDescent="0.2">
      <c r="B32" s="138">
        <v>72.700000000011642</v>
      </c>
      <c r="C32" s="130">
        <v>5.2666666666666666</v>
      </c>
      <c r="D32" s="132">
        <f t="shared" si="0"/>
        <v>5.8225837842046184</v>
      </c>
      <c r="E32" s="133">
        <f t="shared" si="3"/>
        <v>0.30904384157170495</v>
      </c>
      <c r="F32" s="94">
        <v>30</v>
      </c>
      <c r="G32" s="94">
        <f t="shared" si="2"/>
        <v>5.6509748265751902</v>
      </c>
      <c r="H32" s="95"/>
      <c r="I32" s="95"/>
      <c r="J32" s="122"/>
      <c r="K32" s="122"/>
    </row>
    <row r="33" spans="2:11" x14ac:dyDescent="0.2">
      <c r="B33" s="138">
        <v>77.583333333372138</v>
      </c>
      <c r="C33" s="130">
        <v>6.3</v>
      </c>
      <c r="D33" s="132">
        <f t="shared" si="0"/>
        <v>5.8226454082825638</v>
      </c>
      <c r="E33" s="133">
        <f t="shared" si="3"/>
        <v>0.22786740623372001</v>
      </c>
      <c r="F33" s="94">
        <v>35</v>
      </c>
      <c r="G33" s="94">
        <f t="shared" si="2"/>
        <v>5.7497158484317854</v>
      </c>
      <c r="H33" s="95"/>
      <c r="I33" s="95"/>
      <c r="J33" s="122"/>
      <c r="K33" s="122"/>
    </row>
    <row r="34" spans="2:11" x14ac:dyDescent="0.2">
      <c r="B34" s="138">
        <v>92.583333333372138</v>
      </c>
      <c r="C34" s="130">
        <v>6.1166666666666663</v>
      </c>
      <c r="D34" s="132">
        <f t="shared" si="0"/>
        <v>5.8226883629750015</v>
      </c>
      <c r="E34" s="133">
        <f t="shared" si="3"/>
        <v>8.6423243041428691E-2</v>
      </c>
      <c r="F34" s="94">
        <v>40</v>
      </c>
      <c r="G34" s="94">
        <f t="shared" si="2"/>
        <v>5.7918446041090812</v>
      </c>
      <c r="H34" s="95"/>
      <c r="I34" s="95"/>
      <c r="J34" s="122"/>
      <c r="K34" s="122"/>
    </row>
    <row r="35" spans="2:11" x14ac:dyDescent="0.2">
      <c r="B35" s="95">
        <v>96.149999999965075</v>
      </c>
      <c r="C35" s="130">
        <v>6.0666666666666673</v>
      </c>
      <c r="D35" s="132">
        <f t="shared" si="0"/>
        <v>5.8226899584808232</v>
      </c>
      <c r="E35" s="133">
        <f t="shared" si="3"/>
        <v>5.9524634137200556E-2</v>
      </c>
      <c r="F35" s="94">
        <v>45</v>
      </c>
      <c r="G35" s="94">
        <f t="shared" si="2"/>
        <v>5.8096821097808471</v>
      </c>
      <c r="H35" s="95"/>
      <c r="I35" s="95"/>
      <c r="J35" s="122"/>
      <c r="K35" s="122"/>
    </row>
    <row r="36" spans="2:11" x14ac:dyDescent="0.2">
      <c r="B36" s="95">
        <v>99.966666666674428</v>
      </c>
      <c r="C36" s="121">
        <v>5.6000000000000005</v>
      </c>
      <c r="D36" s="132">
        <f t="shared" si="0"/>
        <v>5.8226908620199778</v>
      </c>
      <c r="E36" s="133">
        <f t="shared" si="3"/>
        <v>4.9591220027200539E-2</v>
      </c>
      <c r="F36" s="94">
        <v>50</v>
      </c>
      <c r="G36" s="94">
        <f t="shared" si="2"/>
        <v>5.817210261526502</v>
      </c>
      <c r="H36" s="95"/>
      <c r="I36" s="95"/>
      <c r="J36" s="122"/>
      <c r="K36" s="122"/>
    </row>
    <row r="37" spans="2:11" x14ac:dyDescent="0.2">
      <c r="B37" s="95">
        <v>101.93333333329065</v>
      </c>
      <c r="C37" s="121">
        <v>6.28</v>
      </c>
      <c r="D37" s="132">
        <f t="shared" si="0"/>
        <v>5.822691140610134</v>
      </c>
      <c r="E37" s="133">
        <f t="shared" si="3"/>
        <v>0.20913139287646043</v>
      </c>
      <c r="F37" s="94">
        <v>55</v>
      </c>
      <c r="G37" s="94">
        <f t="shared" si="2"/>
        <v>5.8203831325796758</v>
      </c>
      <c r="H37" s="95"/>
      <c r="I37" s="95"/>
      <c r="J37" s="122"/>
      <c r="K37" s="122"/>
    </row>
    <row r="38" spans="2:11" x14ac:dyDescent="0.2">
      <c r="B38" s="95">
        <v>103.33333333331393</v>
      </c>
      <c r="C38" s="121">
        <v>6.0133333333333328</v>
      </c>
      <c r="D38" s="132">
        <f t="shared" si="0"/>
        <v>5.8226912884724067</v>
      </c>
      <c r="E38" s="133">
        <f t="shared" si="3"/>
        <v>3.6344389268755342E-2</v>
      </c>
      <c r="F38" s="94">
        <v>60</v>
      </c>
      <c r="G38" s="94">
        <f t="shared" si="2"/>
        <v>5.8217196294647877</v>
      </c>
      <c r="H38" s="4"/>
      <c r="I38" s="122"/>
      <c r="J38" s="122"/>
      <c r="K38" s="122"/>
    </row>
    <row r="39" spans="2:11" x14ac:dyDescent="0.2">
      <c r="B39" s="95">
        <v>144.33333333337214</v>
      </c>
      <c r="C39" s="121">
        <v>5.7266666666666666</v>
      </c>
      <c r="D39" s="132">
        <f t="shared" si="0"/>
        <v>5.8226918275702069</v>
      </c>
      <c r="E39" s="133">
        <f t="shared" si="3"/>
        <v>9.2208315265508035E-3</v>
      </c>
      <c r="F39" s="94">
        <v>65</v>
      </c>
      <c r="G39" s="94">
        <f t="shared" si="2"/>
        <v>5.8222824615275632</v>
      </c>
      <c r="H39" s="95"/>
      <c r="I39" s="122"/>
      <c r="J39" s="122"/>
      <c r="K39" s="122"/>
    </row>
    <row r="40" spans="2:11" x14ac:dyDescent="0.2">
      <c r="B40" s="95">
        <v>165.08333333343035</v>
      </c>
      <c r="C40" s="121">
        <v>6.4900000000000011</v>
      </c>
      <c r="D40" s="132">
        <f t="shared" si="0"/>
        <v>5.8226918280061373</v>
      </c>
      <c r="E40" s="133">
        <f t="shared" si="3"/>
        <v>0.44530019640979213</v>
      </c>
      <c r="F40" s="94">
        <v>70</v>
      </c>
      <c r="G40" s="94">
        <f t="shared" si="2"/>
        <v>5.8225194600536128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75</v>
      </c>
      <c r="G41" s="94">
        <f t="shared" si="2"/>
        <v>5.8226192516354667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80</v>
      </c>
      <c r="G42" s="94">
        <f t="shared" si="2"/>
        <v>5.822661269536801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85</v>
      </c>
      <c r="G43" s="94">
        <f t="shared" si="2"/>
        <v>5.8226789613162904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90</v>
      </c>
      <c r="G44" s="94">
        <f t="shared" si="2"/>
        <v>5.8226864104761349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151">
        <v>95</v>
      </c>
      <c r="G45" s="94">
        <f t="shared" si="2"/>
        <v>5.822689546955873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100</v>
      </c>
      <c r="G46" s="94">
        <f t="shared" si="2"/>
        <v>5.8226908675745452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105</v>
      </c>
      <c r="G47" s="94">
        <f t="shared" si="2"/>
        <v>5.8226914236225378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110</v>
      </c>
      <c r="G48" s="94">
        <f t="shared" si="2"/>
        <v>5.8226916577471535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115</v>
      </c>
      <c r="G49" s="94">
        <f t="shared" si="2"/>
        <v>5.8226917563255753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120</v>
      </c>
      <c r="G50" s="94">
        <f t="shared" si="2"/>
        <v>5.8226917978321246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125</v>
      </c>
      <c r="G51" s="94">
        <f t="shared" si="2"/>
        <v>5.8226918153085014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130</v>
      </c>
      <c r="G52" s="94">
        <f t="shared" si="2"/>
        <v>5.8226918226669486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135</v>
      </c>
      <c r="G53" s="94">
        <f t="shared" si="2"/>
        <v>5.8226918257652303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140</v>
      </c>
      <c r="G54" s="94">
        <f t="shared" si="2"/>
        <v>5.8226918270697654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145</v>
      </c>
      <c r="G55" s="94">
        <f t="shared" si="2"/>
        <v>5.8226918276190416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150</v>
      </c>
      <c r="G56" s="94">
        <f t="shared" si="2"/>
        <v>5.8226918278503152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155</v>
      </c>
      <c r="G57" s="94">
        <f t="shared" si="2"/>
        <v>5.8226918279476925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160</v>
      </c>
      <c r="G58" s="94">
        <f t="shared" si="2"/>
        <v>5.8226918279886934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165</v>
      </c>
      <c r="G59" s="94">
        <f t="shared" si="2"/>
        <v>5.822691828005957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170</v>
      </c>
      <c r="G60" s="94">
        <f t="shared" si="2"/>
        <v>5.8226918280132258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175</v>
      </c>
      <c r="G61" s="94">
        <f t="shared" si="2"/>
        <v>5.8226918280162865</v>
      </c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5"/>
      <c r="G66" s="4"/>
      <c r="H66" s="122"/>
      <c r="I66" s="122"/>
      <c r="J66" s="122"/>
    </row>
    <row r="67" spans="2:12" x14ac:dyDescent="0.2">
      <c r="B67" s="122"/>
      <c r="C67" s="94"/>
      <c r="D67" s="94"/>
      <c r="E67" s="95"/>
      <c r="F67" s="95"/>
      <c r="G67" s="4"/>
      <c r="H67" s="122"/>
      <c r="I67" s="122"/>
      <c r="J67" s="122"/>
    </row>
    <row r="68" spans="2:12" x14ac:dyDescent="0.2">
      <c r="B68" s="122"/>
      <c r="C68" s="94"/>
      <c r="D68" s="94"/>
      <c r="E68" s="95"/>
      <c r="F68" s="95"/>
      <c r="G68" s="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5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5"/>
      <c r="G70" s="103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5"/>
      <c r="G71" s="103"/>
      <c r="I71" s="122"/>
      <c r="J71" s="122"/>
    </row>
    <row r="72" spans="2:12" s="4" customFormat="1" x14ac:dyDescent="0.2">
      <c r="B72" s="82"/>
      <c r="C72" s="94"/>
      <c r="D72" s="94"/>
      <c r="E72" s="95"/>
      <c r="F72" s="95"/>
      <c r="G72" s="103"/>
    </row>
    <row r="73" spans="2:12" s="4" customFormat="1" x14ac:dyDescent="0.2">
      <c r="B73" s="82"/>
      <c r="C73" s="94"/>
      <c r="D73" s="94"/>
      <c r="E73" s="95"/>
      <c r="F73" s="95"/>
      <c r="G73" s="103"/>
    </row>
    <row r="74" spans="2:12" s="4" customFormat="1" x14ac:dyDescent="0.2">
      <c r="B74" s="82"/>
      <c r="C74" s="94"/>
      <c r="D74" s="94"/>
      <c r="E74" s="95"/>
      <c r="F74" s="95"/>
      <c r="G74" s="103"/>
    </row>
    <row r="75" spans="2:12" s="4" customFormat="1" x14ac:dyDescent="0.2">
      <c r="B75" s="82"/>
      <c r="C75" s="94"/>
      <c r="D75" s="94"/>
      <c r="E75" s="95"/>
      <c r="F75" s="95"/>
      <c r="G75" s="103"/>
    </row>
    <row r="76" spans="2:12" s="4" customFormat="1" x14ac:dyDescent="0.2">
      <c r="B76" s="82"/>
      <c r="C76" s="94"/>
      <c r="D76" s="94"/>
      <c r="E76" s="95"/>
      <c r="F76" s="95"/>
      <c r="G76" s="103"/>
    </row>
    <row r="77" spans="2:12" s="4" customFormat="1" x14ac:dyDescent="0.2">
      <c r="B77" s="82"/>
      <c r="C77" s="94"/>
      <c r="D77" s="94"/>
      <c r="E77" s="95"/>
      <c r="F77" s="95"/>
      <c r="G77" s="103"/>
    </row>
    <row r="78" spans="2:12" s="4" customFormat="1" x14ac:dyDescent="0.2">
      <c r="B78" s="82"/>
      <c r="C78" s="94"/>
      <c r="D78" s="94"/>
      <c r="E78" s="95"/>
      <c r="F78" s="95"/>
      <c r="G78" s="103"/>
    </row>
    <row r="79" spans="2:12" s="4" customFormat="1" x14ac:dyDescent="0.2">
      <c r="B79" s="82"/>
      <c r="C79" s="94"/>
      <c r="D79" s="94"/>
      <c r="E79" s="95"/>
      <c r="F79" s="95"/>
      <c r="G79" s="103"/>
    </row>
    <row r="80" spans="2:12" s="4" customFormat="1" x14ac:dyDescent="0.2">
      <c r="B80" s="82"/>
      <c r="C80" s="94"/>
      <c r="D80" s="94"/>
      <c r="E80" s="95"/>
      <c r="F80" s="95"/>
      <c r="G80" s="103"/>
    </row>
    <row r="81" spans="2:7" s="4" customFormat="1" ht="13.5" customHeight="1" x14ac:dyDescent="0.2">
      <c r="B81" s="82"/>
      <c r="C81" s="94"/>
      <c r="D81" s="94"/>
      <c r="E81" s="95"/>
      <c r="F81" s="95"/>
      <c r="G81" s="103"/>
    </row>
    <row r="82" spans="2:7" s="4" customFormat="1" x14ac:dyDescent="0.2">
      <c r="B82" s="82"/>
      <c r="C82" s="94"/>
      <c r="D82" s="94"/>
      <c r="E82" s="95"/>
      <c r="F82" s="95"/>
      <c r="G82" s="103"/>
    </row>
    <row r="83" spans="2:7" s="4" customFormat="1" x14ac:dyDescent="0.2">
      <c r="B83" s="82"/>
      <c r="C83" s="94"/>
      <c r="D83" s="94"/>
      <c r="E83" s="95"/>
      <c r="F83" s="95"/>
      <c r="G83" s="103"/>
    </row>
    <row r="84" spans="2:7" s="4" customFormat="1" x14ac:dyDescent="0.2">
      <c r="B84" s="10"/>
      <c r="C84" s="94"/>
      <c r="D84" s="94"/>
      <c r="E84" s="95"/>
      <c r="F84" s="95"/>
      <c r="G84" s="103"/>
    </row>
    <row r="85" spans="2:7" s="4" customFormat="1" x14ac:dyDescent="0.2">
      <c r="B85" s="10"/>
      <c r="C85" s="10"/>
      <c r="D85" s="94"/>
      <c r="E85" s="95"/>
      <c r="F85" s="95"/>
      <c r="G85" s="103"/>
    </row>
    <row r="86" spans="2:7" s="4" customFormat="1" x14ac:dyDescent="0.2">
      <c r="B86" s="10"/>
      <c r="C86" s="10"/>
      <c r="D86" s="94"/>
      <c r="E86" s="95"/>
      <c r="F86" s="95"/>
      <c r="G86" s="103"/>
    </row>
    <row r="87" spans="2:7" s="4" customFormat="1" x14ac:dyDescent="0.2">
      <c r="B87" s="10"/>
      <c r="C87" s="10"/>
      <c r="D87" s="10"/>
      <c r="E87" s="10"/>
      <c r="F87" s="95"/>
      <c r="G87" s="103"/>
    </row>
    <row r="88" spans="2:7" s="4" customFormat="1" x14ac:dyDescent="0.2">
      <c r="B88" s="10"/>
      <c r="C88" s="10"/>
      <c r="D88" s="10"/>
      <c r="E88" s="10"/>
      <c r="F88" s="95"/>
      <c r="G88" s="103"/>
    </row>
    <row r="89" spans="2:7" s="4" customFormat="1" x14ac:dyDescent="0.2">
      <c r="B89" s="10"/>
      <c r="C89" s="10"/>
      <c r="D89" s="10"/>
      <c r="E89" s="10"/>
      <c r="F89" s="95"/>
      <c r="G89" s="103"/>
    </row>
    <row r="90" spans="2:7" s="4" customFormat="1" x14ac:dyDescent="0.2">
      <c r="B90" s="10"/>
      <c r="C90" s="10"/>
      <c r="D90" s="10"/>
      <c r="E90" s="10"/>
      <c r="F90" s="95"/>
      <c r="G90" s="103"/>
    </row>
    <row r="91" spans="2:7" s="4" customFormat="1" x14ac:dyDescent="0.2">
      <c r="B91" s="10"/>
      <c r="C91" s="10"/>
      <c r="D91" s="10"/>
      <c r="E91" s="10"/>
      <c r="F91" s="95"/>
      <c r="G91" s="103"/>
    </row>
    <row r="92" spans="2:7" s="4" customFormat="1" ht="13.5" customHeight="1" x14ac:dyDescent="0.2">
      <c r="B92" s="10"/>
      <c r="C92" s="10"/>
      <c r="D92" s="10"/>
      <c r="E92" s="10"/>
      <c r="F92" s="95"/>
      <c r="G92" s="103"/>
    </row>
    <row r="93" spans="2:7" s="4" customFormat="1" x14ac:dyDescent="0.2">
      <c r="B93" s="10"/>
      <c r="C93" s="10"/>
      <c r="D93" s="10"/>
      <c r="E93" s="10"/>
      <c r="F93" s="95"/>
      <c r="G93" s="103"/>
    </row>
    <row r="94" spans="2:7" s="4" customFormat="1" x14ac:dyDescent="0.2">
      <c r="B94" s="10"/>
      <c r="C94" s="10"/>
      <c r="D94" s="10"/>
      <c r="E94" s="10"/>
      <c r="F94" s="95"/>
      <c r="G94" s="103"/>
    </row>
    <row r="95" spans="2:7" s="4" customFormat="1" x14ac:dyDescent="0.2">
      <c r="B95" s="10"/>
      <c r="C95" s="10"/>
      <c r="D95" s="10"/>
      <c r="E95" s="10"/>
      <c r="F95" s="95"/>
      <c r="G95" s="103"/>
    </row>
    <row r="96" spans="2:7" s="4" customFormat="1" x14ac:dyDescent="0.2">
      <c r="B96" s="10"/>
      <c r="C96" s="10"/>
      <c r="D96" s="10"/>
      <c r="E96" s="10"/>
      <c r="F96" s="95"/>
      <c r="G96" s="103"/>
    </row>
    <row r="97" spans="2:12" s="4" customFormat="1" x14ac:dyDescent="0.2">
      <c r="B97" s="10"/>
      <c r="C97" s="10"/>
      <c r="D97" s="10"/>
      <c r="E97" s="10"/>
      <c r="F97" s="95"/>
      <c r="G97" s="103"/>
    </row>
    <row r="98" spans="2:12" s="4" customFormat="1" x14ac:dyDescent="0.2">
      <c r="B98" s="10"/>
      <c r="C98" s="10"/>
      <c r="D98" s="10"/>
      <c r="E98" s="10"/>
      <c r="F98" s="95"/>
      <c r="G98" s="103"/>
    </row>
    <row r="99" spans="2:12" s="4" customFormat="1" x14ac:dyDescent="0.2">
      <c r="B99" s="10"/>
      <c r="C99" s="10"/>
      <c r="D99" s="10"/>
      <c r="E99" s="10"/>
      <c r="F99" s="95"/>
      <c r="G99" s="103"/>
    </row>
    <row r="100" spans="2:12" s="4" customFormat="1" x14ac:dyDescent="0.2">
      <c r="B100" s="10"/>
      <c r="C100" s="10"/>
      <c r="D100" s="10"/>
      <c r="E100" s="10"/>
      <c r="F100" s="95"/>
      <c r="G100" s="103"/>
    </row>
    <row r="101" spans="2:12" s="4" customFormat="1" x14ac:dyDescent="0.2">
      <c r="B101" s="10"/>
      <c r="C101" s="10"/>
      <c r="D101" s="10"/>
      <c r="E101" s="10"/>
      <c r="F101" s="95"/>
      <c r="G101" s="103"/>
    </row>
    <row r="102" spans="2:12" s="4" customFormat="1" ht="13.5" customHeight="1" x14ac:dyDescent="0.2">
      <c r="B102" s="10"/>
      <c r="C102" s="10"/>
      <c r="D102" s="10"/>
      <c r="E102" s="10"/>
      <c r="F102" s="95"/>
      <c r="G102" s="103"/>
    </row>
    <row r="103" spans="2:12" x14ac:dyDescent="0.2">
      <c r="B103" s="10"/>
      <c r="C103" s="10"/>
      <c r="D103" s="10"/>
      <c r="E103" s="10"/>
      <c r="F103" s="95"/>
      <c r="G103" s="103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4"/>
      <c r="G104" s="103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4"/>
      <c r="G105" s="103"/>
      <c r="H105" s="4"/>
      <c r="I105" s="4"/>
      <c r="J105" s="4"/>
    </row>
    <row r="106" spans="2:12" x14ac:dyDescent="0.2">
      <c r="B106" s="10"/>
      <c r="C106" s="10"/>
      <c r="D106" s="10"/>
      <c r="E106" s="10"/>
      <c r="F106" s="4"/>
      <c r="G106" s="103"/>
      <c r="H106" s="4"/>
      <c r="I106" s="4"/>
      <c r="J106" s="4"/>
    </row>
    <row r="107" spans="2:12" x14ac:dyDescent="0.2">
      <c r="B107" s="10"/>
      <c r="C107" s="10"/>
      <c r="D107" s="10"/>
      <c r="E107" s="10"/>
      <c r="F107" s="4"/>
      <c r="G107" s="103"/>
    </row>
    <row r="108" spans="2:12" x14ac:dyDescent="0.2">
      <c r="B108" s="10"/>
      <c r="C108" s="10"/>
      <c r="D108" s="10"/>
      <c r="E108" s="10"/>
      <c r="F108" s="4"/>
      <c r="G108" s="103"/>
    </row>
    <row r="109" spans="2:12" x14ac:dyDescent="0.2">
      <c r="B109" s="10"/>
      <c r="C109" s="10"/>
      <c r="D109" s="10"/>
      <c r="E109" s="10"/>
      <c r="F109" s="4"/>
      <c r="G109" s="103"/>
    </row>
    <row r="110" spans="2:12" x14ac:dyDescent="0.2">
      <c r="B110" s="10"/>
      <c r="C110" s="10"/>
      <c r="D110" s="10"/>
      <c r="E110" s="10"/>
      <c r="F110" s="4"/>
      <c r="G110" s="103"/>
    </row>
    <row r="111" spans="2:12" x14ac:dyDescent="0.2">
      <c r="B111" s="10"/>
      <c r="C111" s="10"/>
      <c r="D111" s="10"/>
      <c r="E111" s="10"/>
      <c r="F111" s="4"/>
      <c r="G111" s="103"/>
    </row>
    <row r="112" spans="2:12" x14ac:dyDescent="0.2">
      <c r="B112" s="10"/>
      <c r="C112" s="10"/>
      <c r="D112" s="10"/>
      <c r="E112" s="10"/>
      <c r="F112" s="4"/>
      <c r="G112" s="103"/>
    </row>
    <row r="113" spans="2:7" x14ac:dyDescent="0.2">
      <c r="B113" s="10"/>
      <c r="C113" s="10"/>
      <c r="D113" s="10"/>
      <c r="E113" s="10"/>
      <c r="F113" s="4"/>
      <c r="G113" s="103"/>
    </row>
    <row r="114" spans="2:7" x14ac:dyDescent="0.2">
      <c r="B114" s="10"/>
      <c r="C114" s="10"/>
      <c r="D114" s="10"/>
      <c r="E114" s="10"/>
      <c r="F114" s="4"/>
      <c r="G114" s="103"/>
    </row>
    <row r="115" spans="2:7" x14ac:dyDescent="0.2">
      <c r="B115" s="10"/>
      <c r="C115" s="10"/>
      <c r="D115" s="10"/>
      <c r="E115" s="10"/>
      <c r="F115" s="4"/>
      <c r="G115" s="103"/>
    </row>
    <row r="116" spans="2:7" x14ac:dyDescent="0.2">
      <c r="B116" s="10"/>
      <c r="C116" s="10"/>
      <c r="D116" s="10"/>
      <c r="E116" s="10"/>
      <c r="F116" s="4"/>
      <c r="G116" s="103"/>
    </row>
    <row r="117" spans="2:7" x14ac:dyDescent="0.2">
      <c r="B117" s="10"/>
      <c r="C117" s="10"/>
      <c r="D117" s="10"/>
      <c r="E117" s="10"/>
      <c r="F117" s="4"/>
      <c r="G117" s="103"/>
    </row>
    <row r="118" spans="2:7" x14ac:dyDescent="0.2">
      <c r="B118" s="10"/>
      <c r="C118" s="10"/>
      <c r="D118" s="10"/>
      <c r="E118" s="10"/>
      <c r="F118" s="4"/>
      <c r="G118" s="103"/>
    </row>
    <row r="119" spans="2:7" x14ac:dyDescent="0.2">
      <c r="B119" s="10"/>
      <c r="C119" s="10"/>
      <c r="D119" s="10"/>
      <c r="E119" s="10"/>
      <c r="F119" s="4"/>
      <c r="G119" s="103"/>
    </row>
    <row r="120" spans="2:7" x14ac:dyDescent="0.2">
      <c r="B120" s="10"/>
      <c r="C120" s="10"/>
      <c r="D120" s="10"/>
      <c r="E120" s="10"/>
      <c r="F120" s="4"/>
      <c r="G120" s="103"/>
    </row>
    <row r="121" spans="2:7" x14ac:dyDescent="0.2">
      <c r="B121" s="10"/>
      <c r="C121" s="10"/>
      <c r="D121" s="10"/>
      <c r="E121" s="10"/>
      <c r="F121" s="4"/>
      <c r="G121" s="103"/>
    </row>
    <row r="122" spans="2:7" x14ac:dyDescent="0.2">
      <c r="B122" s="10"/>
      <c r="C122" s="10"/>
      <c r="D122" s="10"/>
      <c r="E122" s="10"/>
      <c r="F122" s="4"/>
      <c r="G122" s="103"/>
    </row>
    <row r="123" spans="2:7" x14ac:dyDescent="0.2">
      <c r="B123" s="10"/>
      <c r="C123" s="10"/>
      <c r="D123" s="10"/>
      <c r="E123" s="10"/>
      <c r="F123" s="4"/>
      <c r="G123" s="103"/>
    </row>
    <row r="124" spans="2:7" x14ac:dyDescent="0.2">
      <c r="B124" s="10"/>
      <c r="C124" s="10"/>
      <c r="D124" s="10"/>
      <c r="E124" s="10"/>
      <c r="F124" s="4"/>
      <c r="G124" s="103"/>
    </row>
    <row r="125" spans="2:7" x14ac:dyDescent="0.2">
      <c r="B125" s="10"/>
      <c r="C125" s="10"/>
      <c r="D125" s="10"/>
      <c r="E125" s="10"/>
      <c r="F125" s="4"/>
      <c r="G125" s="103"/>
    </row>
    <row r="126" spans="2:7" x14ac:dyDescent="0.2">
      <c r="B126" s="10"/>
      <c r="C126" s="10"/>
      <c r="D126" s="10"/>
      <c r="E126" s="10"/>
      <c r="F126" s="4"/>
      <c r="G126" s="103"/>
    </row>
    <row r="127" spans="2:7" x14ac:dyDescent="0.2">
      <c r="B127" s="10"/>
      <c r="C127" s="10"/>
      <c r="D127" s="10"/>
      <c r="E127" s="10"/>
      <c r="F127" s="4"/>
      <c r="G127" s="103"/>
    </row>
    <row r="128" spans="2:7" x14ac:dyDescent="0.2">
      <c r="B128" s="10"/>
      <c r="C128" s="10"/>
      <c r="D128" s="10"/>
      <c r="E128" s="10"/>
      <c r="F128" s="4"/>
      <c r="G128" s="103"/>
    </row>
    <row r="129" spans="2:7" x14ac:dyDescent="0.2">
      <c r="B129" s="10"/>
      <c r="C129" s="10"/>
      <c r="D129" s="10"/>
      <c r="E129" s="10"/>
      <c r="F129" s="4"/>
      <c r="G129" s="103"/>
    </row>
    <row r="130" spans="2:7" x14ac:dyDescent="0.2">
      <c r="B130" s="10"/>
      <c r="C130" s="10"/>
      <c r="D130" s="10"/>
      <c r="E130" s="10"/>
      <c r="F130" s="4"/>
      <c r="G130" s="103"/>
    </row>
    <row r="131" spans="2:7" x14ac:dyDescent="0.2">
      <c r="B131" s="10"/>
      <c r="C131" s="10"/>
      <c r="D131" s="10"/>
      <c r="E131" s="10"/>
      <c r="F131" s="4"/>
      <c r="G131" s="103"/>
    </row>
    <row r="132" spans="2:7" x14ac:dyDescent="0.2">
      <c r="B132" s="10"/>
      <c r="C132" s="10"/>
      <c r="D132" s="10"/>
      <c r="E132" s="10"/>
      <c r="F132" s="4"/>
      <c r="G132" s="103"/>
    </row>
    <row r="133" spans="2:7" x14ac:dyDescent="0.2">
      <c r="B133" s="10"/>
      <c r="C133" s="10"/>
      <c r="D133" s="10"/>
      <c r="E133" s="10"/>
      <c r="F133" s="4"/>
      <c r="G133" s="103"/>
    </row>
    <row r="134" spans="2:7" x14ac:dyDescent="0.2">
      <c r="B134" s="10"/>
      <c r="C134" s="10"/>
      <c r="D134" s="10"/>
      <c r="E134" s="10"/>
      <c r="F134" s="4"/>
      <c r="G134" s="103"/>
    </row>
    <row r="135" spans="2:7" x14ac:dyDescent="0.2">
      <c r="B135" s="10"/>
      <c r="C135" s="10"/>
      <c r="D135" s="10"/>
      <c r="E135" s="10"/>
      <c r="F135" s="4"/>
      <c r="G135" s="103"/>
    </row>
    <row r="136" spans="2:7" x14ac:dyDescent="0.2">
      <c r="B136" s="10"/>
      <c r="C136" s="10"/>
      <c r="D136" s="10"/>
      <c r="E136" s="10"/>
      <c r="F136" s="4"/>
      <c r="G136" s="103"/>
    </row>
    <row r="137" spans="2:7" x14ac:dyDescent="0.2">
      <c r="B137" s="10"/>
      <c r="C137" s="10"/>
      <c r="D137" s="10"/>
      <c r="E137" s="10"/>
      <c r="F137" s="4"/>
      <c r="G137" s="103"/>
    </row>
    <row r="138" spans="2:7" x14ac:dyDescent="0.2">
      <c r="B138" s="10"/>
      <c r="C138" s="10"/>
      <c r="D138" s="10"/>
      <c r="E138" s="10"/>
      <c r="F138" s="4"/>
      <c r="G138" s="103"/>
    </row>
    <row r="139" spans="2:7" x14ac:dyDescent="0.2">
      <c r="B139" s="10"/>
      <c r="C139" s="10"/>
      <c r="D139" s="10"/>
      <c r="E139" s="10"/>
      <c r="F139" s="4"/>
      <c r="G139" s="103"/>
    </row>
    <row r="140" spans="2:7" x14ac:dyDescent="0.2">
      <c r="B140" s="10"/>
      <c r="C140" s="10"/>
      <c r="D140" s="10"/>
      <c r="E140" s="10"/>
      <c r="F140" s="4"/>
      <c r="G140" s="103"/>
    </row>
    <row r="141" spans="2:7" x14ac:dyDescent="0.2">
      <c r="B141" s="10"/>
      <c r="C141" s="10"/>
      <c r="D141" s="10"/>
      <c r="E141" s="10"/>
      <c r="F141" s="4"/>
      <c r="G141" s="103"/>
    </row>
    <row r="142" spans="2:7" x14ac:dyDescent="0.2">
      <c r="B142" s="10"/>
      <c r="C142" s="10"/>
      <c r="D142" s="10"/>
      <c r="E142" s="10"/>
      <c r="F142" s="4"/>
      <c r="G142" s="103"/>
    </row>
    <row r="143" spans="2:7" x14ac:dyDescent="0.2">
      <c r="B143" s="10"/>
      <c r="C143" s="10"/>
      <c r="D143" s="10"/>
      <c r="E143" s="10"/>
      <c r="F143" s="4"/>
      <c r="G143" s="103"/>
    </row>
    <row r="144" spans="2:7" x14ac:dyDescent="0.2">
      <c r="B144" s="10"/>
      <c r="C144" s="10"/>
      <c r="D144" s="10"/>
      <c r="E144" s="10"/>
      <c r="F144" s="4"/>
      <c r="G144" s="103"/>
    </row>
    <row r="145" spans="2:7" x14ac:dyDescent="0.2">
      <c r="B145" s="10"/>
      <c r="C145" s="10"/>
      <c r="D145" s="10"/>
      <c r="E145" s="10"/>
      <c r="F145" s="4"/>
      <c r="G145" s="103"/>
    </row>
    <row r="146" spans="2:7" x14ac:dyDescent="0.2">
      <c r="B146" s="10"/>
      <c r="C146" s="10"/>
      <c r="D146" s="10"/>
      <c r="E146" s="10"/>
      <c r="F146" s="82"/>
      <c r="G146" s="103"/>
    </row>
    <row r="147" spans="2:7" x14ac:dyDescent="0.2">
      <c r="B147" s="10"/>
      <c r="C147" s="10"/>
      <c r="D147" s="10"/>
      <c r="E147" s="10"/>
      <c r="F147" s="82"/>
      <c r="G147" s="103"/>
    </row>
    <row r="148" spans="2:7" x14ac:dyDescent="0.2">
      <c r="B148" s="10"/>
      <c r="C148" s="10"/>
      <c r="D148" s="10"/>
      <c r="E148" s="10"/>
      <c r="F148" s="82"/>
      <c r="G148" s="103"/>
    </row>
    <row r="149" spans="2:7" x14ac:dyDescent="0.2">
      <c r="B149" s="10"/>
      <c r="C149" s="10"/>
      <c r="D149" s="10"/>
      <c r="E149" s="10"/>
      <c r="F149" s="82"/>
      <c r="G149" s="103"/>
    </row>
    <row r="150" spans="2:7" x14ac:dyDescent="0.2">
      <c r="B150" s="10"/>
      <c r="C150" s="10"/>
      <c r="D150" s="10"/>
      <c r="E150" s="10"/>
      <c r="F150" s="82"/>
      <c r="G150" s="103"/>
    </row>
    <row r="151" spans="2:7" x14ac:dyDescent="0.2">
      <c r="B151" s="10"/>
      <c r="C151" s="10"/>
      <c r="D151" s="10"/>
      <c r="E151" s="10"/>
      <c r="F151" s="82"/>
      <c r="G151" s="103"/>
    </row>
    <row r="152" spans="2:7" x14ac:dyDescent="0.2">
      <c r="B152" s="10"/>
      <c r="C152" s="10"/>
      <c r="D152" s="10"/>
      <c r="E152" s="10"/>
      <c r="F152" s="82"/>
      <c r="G152" s="103"/>
    </row>
    <row r="153" spans="2:7" x14ac:dyDescent="0.2">
      <c r="B153" s="10"/>
      <c r="C153" s="10"/>
      <c r="D153" s="10"/>
      <c r="E153" s="10"/>
      <c r="F153" s="82"/>
      <c r="G153" s="103"/>
    </row>
    <row r="154" spans="2:7" x14ac:dyDescent="0.2">
      <c r="B154" s="10"/>
      <c r="C154" s="10"/>
      <c r="D154" s="10"/>
      <c r="E154" s="10"/>
      <c r="F154" s="82"/>
      <c r="G154" s="103"/>
    </row>
    <row r="155" spans="2:7" x14ac:dyDescent="0.2">
      <c r="B155" s="10"/>
      <c r="C155" s="10"/>
      <c r="D155" s="10"/>
      <c r="E155" s="10"/>
      <c r="F155" s="82"/>
      <c r="G155" s="103"/>
    </row>
    <row r="156" spans="2:7" x14ac:dyDescent="0.2">
      <c r="B156" s="10"/>
      <c r="C156" s="10"/>
      <c r="D156" s="10"/>
      <c r="E156" s="10"/>
      <c r="F156" s="82"/>
      <c r="G156" s="103"/>
    </row>
    <row r="157" spans="2:7" x14ac:dyDescent="0.2">
      <c r="B157" s="10"/>
      <c r="C157" s="10"/>
      <c r="D157" s="10"/>
      <c r="E157" s="10"/>
      <c r="F157" s="82"/>
      <c r="G157" s="103"/>
    </row>
    <row r="158" spans="2:7" x14ac:dyDescent="0.2">
      <c r="B158" s="10"/>
      <c r="C158" s="10"/>
      <c r="D158" s="10"/>
      <c r="E158" s="10"/>
      <c r="F158" s="82"/>
      <c r="G158" s="103"/>
    </row>
    <row r="159" spans="2:7" x14ac:dyDescent="0.2">
      <c r="B159" s="10"/>
      <c r="C159" s="10"/>
      <c r="D159" s="10"/>
      <c r="E159" s="10"/>
      <c r="F159" s="82"/>
      <c r="G159" s="103"/>
    </row>
    <row r="160" spans="2:7" x14ac:dyDescent="0.2">
      <c r="B160" s="10"/>
      <c r="C160" s="10"/>
      <c r="D160" s="10"/>
      <c r="E160" s="10"/>
      <c r="F160" s="82"/>
      <c r="G160" s="103"/>
    </row>
    <row r="161" spans="2:8" x14ac:dyDescent="0.2">
      <c r="B161" s="10"/>
      <c r="C161" s="10"/>
      <c r="D161" s="10"/>
      <c r="E161" s="10"/>
      <c r="F161" s="82"/>
      <c r="G161" s="103"/>
    </row>
    <row r="162" spans="2:8" x14ac:dyDescent="0.2">
      <c r="B162" s="10"/>
      <c r="C162" s="10"/>
      <c r="D162" s="10"/>
      <c r="E162" s="10"/>
      <c r="F162" s="82"/>
      <c r="G162" s="103"/>
    </row>
    <row r="163" spans="2:8" x14ac:dyDescent="0.2">
      <c r="B163" s="10"/>
      <c r="C163" s="10"/>
      <c r="D163" s="10"/>
      <c r="E163" s="10"/>
      <c r="F163" s="82"/>
      <c r="G163" s="103"/>
    </row>
    <row r="164" spans="2:8" x14ac:dyDescent="0.2">
      <c r="B164" s="10"/>
      <c r="C164" s="10"/>
      <c r="D164" s="10"/>
      <c r="E164" s="10"/>
      <c r="F164" s="82"/>
      <c r="G164" s="103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73"/>
  <sheetViews>
    <sheetView topLeftCell="A17" zoomScaleNormal="100" workbookViewId="0">
      <selection activeCell="G23" sqref="G23:AC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'1239'!D8</f>
        <v>0.12931589791368642</v>
      </c>
      <c r="E2" s="2">
        <f>SUM(D3:D5)</f>
        <v>1.4966027427244479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'1239'!D11</f>
        <v>5.4201918280185124</v>
      </c>
      <c r="D3" s="10">
        <f>$D$2*G43</f>
        <v>8.9432450001521325E-3</v>
      </c>
      <c r="E3" s="10"/>
      <c r="F3" s="11">
        <f>SQRT(D3)</f>
        <v>9.4568731619664503E-2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'1239'!D12</f>
        <v>0.34495850863847133</v>
      </c>
      <c r="D4" s="10">
        <f>$D$2*H44</f>
        <v>2.2888885752507747E-3</v>
      </c>
      <c r="E4" s="10"/>
      <c r="F4" s="11">
        <f>SQRT(D4)</f>
        <v>4.7842330370193871E-2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'1239'!D13</f>
        <v>4.3585023662342799</v>
      </c>
      <c r="D5" s="10">
        <f>$D$2*I45</f>
        <v>1.4853706091490451</v>
      </c>
      <c r="E5" s="10"/>
      <c r="F5" s="11">
        <f>SQRT(D5)</f>
        <v>1.218757813984815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5.4201918280185127E-4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3.4495850863847133E-5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4.3585023662342799E-4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'1239'!B18</f>
        <v>0</v>
      </c>
      <c r="B22" s="4">
        <f>Q_LA($C$3,$C$4,$C$5,A22,$I$7)</f>
        <v>1.6583931350569261E-2</v>
      </c>
      <c r="C22" s="35">
        <f>Q_Lumax($C$3,$C$4,$C$5,A22,$I$8)</f>
        <v>-0.21186128249661768</v>
      </c>
      <c r="D22" s="36">
        <f>Q_Llameda($C$3,$C$4,$C$5,A22,$I$9)</f>
        <v>-1.6767996414192767E-2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'1239'!B19</f>
        <v>2.3333333334303461</v>
      </c>
      <c r="B23" s="4">
        <f t="shared" ref="B23:B44" si="0">Q_LA($C$3,$C$4,$C$5,A23,$I$7)</f>
        <v>4.961203131317149E-2</v>
      </c>
      <c r="C23" s="35">
        <f t="shared" ref="C23:C40" si="1">Q_Lumax($C$3,$C$4,$C$5,A23,$I$8)</f>
        <v>-0.44805636045396297</v>
      </c>
      <c r="D23" s="36">
        <f t="shared" ref="D23:D40" si="2">Q_Llameda($C$3,$C$4,$C$5,A23,$I$9)</f>
        <v>-7.6315573298167155E-2</v>
      </c>
      <c r="E23" s="37">
        <v>2</v>
      </c>
      <c r="F23" s="40">
        <v>1</v>
      </c>
      <c r="G23" s="42">
        <v>1.6583931350569261E-2</v>
      </c>
      <c r="H23" s="42">
        <v>4.961203131317149E-2</v>
      </c>
      <c r="I23" s="42">
        <v>6.5972420766743117E-2</v>
      </c>
      <c r="J23" s="42">
        <v>5.4801251319737017E-2</v>
      </c>
      <c r="K23" s="42">
        <v>0.44331246772242966</v>
      </c>
      <c r="L23" s="42">
        <v>0.5558943214180182</v>
      </c>
      <c r="M23" s="42">
        <v>0.72678355682636187</v>
      </c>
      <c r="N23" s="42">
        <v>0.79422217208519286</v>
      </c>
      <c r="O23" s="42">
        <v>0.82091540751005698</v>
      </c>
      <c r="P23" s="42">
        <v>0.97974396481641979</v>
      </c>
      <c r="Q23" s="42">
        <v>0.98778478325978647</v>
      </c>
      <c r="R23" s="42">
        <v>0.990771292349233</v>
      </c>
      <c r="S23" s="42">
        <v>0.9941839470718401</v>
      </c>
      <c r="T23" s="42">
        <v>0.99950110201047315</v>
      </c>
      <c r="U23" s="42">
        <v>0.99974425283417867</v>
      </c>
      <c r="V23" s="42">
        <v>0.99988287666248576</v>
      </c>
      <c r="W23" s="42">
        <v>0.99998959592745884</v>
      </c>
      <c r="X23" s="42">
        <v>0.9999941734042509</v>
      </c>
      <c r="Y23" s="42">
        <v>0.99999687150302963</v>
      </c>
      <c r="Z23" s="42">
        <v>0.99999773052797081</v>
      </c>
      <c r="AA23" s="42">
        <v>0.99999819454380467</v>
      </c>
      <c r="AB23" s="42">
        <v>0.99999999791315031</v>
      </c>
      <c r="AC23" s="42">
        <v>0.99999999993360278</v>
      </c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'1239'!B20</f>
        <v>4.4166666667442769</v>
      </c>
      <c r="B24" s="4">
        <f t="shared" si="0"/>
        <v>6.5972420766743117E-2</v>
      </c>
      <c r="C24" s="35">
        <f t="shared" si="1"/>
        <v>2.8850973698209048E-2</v>
      </c>
      <c r="D24" s="36">
        <f t="shared" si="2"/>
        <v>-0.1710971471052449</v>
      </c>
      <c r="E24" s="37">
        <v>3</v>
      </c>
      <c r="F24" s="43">
        <v>2</v>
      </c>
      <c r="G24" s="42">
        <v>-0.21186128249661768</v>
      </c>
      <c r="H24" s="42">
        <v>-0.44805636045396297</v>
      </c>
      <c r="I24" s="42">
        <v>2.8850973698209048E-2</v>
      </c>
      <c r="J24" s="42">
        <v>1.1334994476919134</v>
      </c>
      <c r="K24" s="42">
        <v>6.2703509056720028</v>
      </c>
      <c r="L24" s="42">
        <v>5.2061949500385118</v>
      </c>
      <c r="M24" s="42">
        <v>3.3790515514913486</v>
      </c>
      <c r="N24" s="42">
        <v>2.5990372770761576</v>
      </c>
      <c r="O24" s="42">
        <v>2.2815821823547617</v>
      </c>
      <c r="P24" s="42">
        <v>0.27813149260308329</v>
      </c>
      <c r="Q24" s="42">
        <v>0.16934997974548735</v>
      </c>
      <c r="R24" s="42">
        <v>0.12855072923119068</v>
      </c>
      <c r="S24" s="42">
        <v>8.1581635452662574E-2</v>
      </c>
      <c r="T24" s="42">
        <v>7.1832854075029352E-3</v>
      </c>
      <c r="U24" s="42">
        <v>3.7008645329127498E-3</v>
      </c>
      <c r="V24" s="42">
        <v>1.7035855835966158E-3</v>
      </c>
      <c r="W24" s="42">
        <v>1.5319614582077045E-4</v>
      </c>
      <c r="X24" s="42">
        <v>8.5994714739602278E-5</v>
      </c>
      <c r="Y24" s="42">
        <v>4.6279867460538495E-5</v>
      </c>
      <c r="Z24" s="42">
        <v>3.3609804372263915E-5</v>
      </c>
      <c r="AA24" s="42">
        <v>2.6758473119175182E-5</v>
      </c>
      <c r="AB24" s="42">
        <v>3.143757360078372E-8</v>
      </c>
      <c r="AC24" s="42">
        <v>9.7840114400473493E-10</v>
      </c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'1239'!B21</f>
        <v>5.9500000000116415</v>
      </c>
      <c r="B25" s="4">
        <f t="shared" si="0"/>
        <v>5.4801251319737017E-2</v>
      </c>
      <c r="C25" s="35">
        <f t="shared" si="1"/>
        <v>1.1334994476919134</v>
      </c>
      <c r="D25" s="36">
        <f t="shared" si="2"/>
        <v>-0.24567354509326017</v>
      </c>
      <c r="E25" s="37">
        <v>4</v>
      </c>
      <c r="F25" s="43">
        <v>3</v>
      </c>
      <c r="G25" s="42">
        <v>-1.6767996414192767E-2</v>
      </c>
      <c r="H25" s="42">
        <v>-7.6315573298167155E-2</v>
      </c>
      <c r="I25" s="42">
        <v>-0.1710971471052449</v>
      </c>
      <c r="J25" s="42">
        <v>-0.24567354509326017</v>
      </c>
      <c r="K25" s="42">
        <v>-0.13542090984244046</v>
      </c>
      <c r="L25" s="42">
        <v>-9.9469018395697856E-2</v>
      </c>
      <c r="M25" s="42">
        <v>-5.2854943139902133E-2</v>
      </c>
      <c r="N25" s="42">
        <v>-3.7018734917845277E-2</v>
      </c>
      <c r="O25" s="42">
        <v>-3.1167977644004773E-2</v>
      </c>
      <c r="P25" s="42">
        <v>-2.3811753005210457E-3</v>
      </c>
      <c r="Q25" s="42">
        <v>-1.3391598395322522E-3</v>
      </c>
      <c r="R25" s="42">
        <v>-9.755674755172381E-4</v>
      </c>
      <c r="S25" s="42">
        <v>-5.8081965736684325E-4</v>
      </c>
      <c r="T25" s="42">
        <v>-3.8655221711151298E-5</v>
      </c>
      <c r="U25" s="42">
        <v>-1.8692121935711687E-5</v>
      </c>
      <c r="V25" s="42">
        <v>-8.0308932954450095E-6</v>
      </c>
      <c r="W25" s="42">
        <v>-5.9947578552737952E-7</v>
      </c>
      <c r="X25" s="42">
        <v>-3.2344063838745275E-7</v>
      </c>
      <c r="Y25" s="42">
        <v>-1.6712458187646027E-7</v>
      </c>
      <c r="Z25" s="42">
        <v>-1.1892638392320906E-7</v>
      </c>
      <c r="AA25" s="42">
        <v>-9.3345799663646972E-8</v>
      </c>
      <c r="AB25" s="42">
        <v>-7.5398838333768586E-11</v>
      </c>
      <c r="AC25" s="42">
        <v>-4.0756128829064107E-12</v>
      </c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'1239'!B22</f>
        <v>20.333333333430346</v>
      </c>
      <c r="B26" s="4">
        <f t="shared" si="0"/>
        <v>0.44331246772242966</v>
      </c>
      <c r="C26" s="35">
        <f t="shared" si="1"/>
        <v>6.2703509056720028</v>
      </c>
      <c r="D26" s="36">
        <f t="shared" si="2"/>
        <v>-0.13542090984244046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'1239'!B23</f>
        <v>22.416666666744277</v>
      </c>
      <c r="B27" s="4">
        <f t="shared" si="0"/>
        <v>0.5558943214180182</v>
      </c>
      <c r="C27" s="35">
        <f t="shared" si="1"/>
        <v>5.2061949500385118</v>
      </c>
      <c r="D27" s="36">
        <f t="shared" si="2"/>
        <v>-9.9469018395697856E-2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'1239'!B24</f>
        <v>26.416666666686069</v>
      </c>
      <c r="B28" s="4">
        <f t="shared" si="0"/>
        <v>0.72678355682636187</v>
      </c>
      <c r="C28" s="35">
        <f t="shared" si="1"/>
        <v>3.3790515514913486</v>
      </c>
      <c r="D28" s="36">
        <f t="shared" si="2"/>
        <v>-5.2854943139902133E-2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'1239'!B25</f>
        <v>28.583333333430346</v>
      </c>
      <c r="B29" s="4">
        <f t="shared" si="0"/>
        <v>0.79422217208519286</v>
      </c>
      <c r="C29" s="35">
        <f t="shared" si="1"/>
        <v>2.5990372770761576</v>
      </c>
      <c r="D29" s="36">
        <f t="shared" si="2"/>
        <v>-3.7018734917845277E-2</v>
      </c>
      <c r="E29" s="37">
        <v>8</v>
      </c>
    </row>
    <row r="30" spans="1:49" ht="13.5" thickBot="1" x14ac:dyDescent="0.25">
      <c r="A30" s="34">
        <f>'1239'!B26</f>
        <v>29.616666666639503</v>
      </c>
      <c r="B30" s="4">
        <f t="shared" si="0"/>
        <v>0.82091540751005698</v>
      </c>
      <c r="C30" s="35">
        <f t="shared" si="1"/>
        <v>2.2815821823547617</v>
      </c>
      <c r="D30" s="36">
        <f t="shared" si="2"/>
        <v>-3.1167977644004773E-2</v>
      </c>
      <c r="E30" s="37">
        <v>9</v>
      </c>
      <c r="J30" s="48"/>
      <c r="K30" s="49"/>
      <c r="L30" s="49"/>
    </row>
    <row r="31" spans="1:49" ht="13.5" thickBot="1" x14ac:dyDescent="0.25">
      <c r="A31" s="34">
        <f>'1239'!B27</f>
        <v>44.666666666627862</v>
      </c>
      <c r="B31" s="4">
        <f t="shared" si="0"/>
        <v>0.97974396481641979</v>
      </c>
      <c r="C31" s="35">
        <f t="shared" si="1"/>
        <v>0.27813149260308329</v>
      </c>
      <c r="D31" s="36">
        <f t="shared" si="2"/>
        <v>-2.3811753005210457E-3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'1239'!B28</f>
        <v>48</v>
      </c>
      <c r="B32" s="4">
        <f t="shared" si="0"/>
        <v>0.98778478325978647</v>
      </c>
      <c r="C32" s="35">
        <f t="shared" si="1"/>
        <v>0.16934997974548735</v>
      </c>
      <c r="D32" s="36">
        <f t="shared" si="2"/>
        <v>-1.3391598395322522E-3</v>
      </c>
      <c r="E32" s="37">
        <v>11</v>
      </c>
      <c r="F32" s="50"/>
      <c r="G32" s="12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'1239'!B29</f>
        <v>49.833333333372138</v>
      </c>
      <c r="B33" s="4">
        <f t="shared" si="0"/>
        <v>0.990771292349233</v>
      </c>
      <c r="C33" s="35">
        <f t="shared" si="1"/>
        <v>0.12855072923119068</v>
      </c>
      <c r="D33" s="36">
        <f t="shared" si="2"/>
        <v>-9.755674755172381E-4</v>
      </c>
      <c r="E33" s="37">
        <v>12</v>
      </c>
      <c r="F33" s="52">
        <v>1</v>
      </c>
      <c r="G33" s="53">
        <f t="array" ref="G33:I35">MMULT(G23:AC25,B22:D44)</f>
        <v>16.252398069590733</v>
      </c>
      <c r="H33" s="54">
        <v>12.766314507405029</v>
      </c>
      <c r="I33" s="55">
        <v>-0.24281108276671506</v>
      </c>
      <c r="J33" s="48"/>
      <c r="K33" s="48"/>
      <c r="L33" s="48"/>
    </row>
    <row r="34" spans="1:12" ht="13.5" thickBot="1" x14ac:dyDescent="0.25">
      <c r="A34" s="34">
        <f>'1239'!B30</f>
        <v>52.833333333372138</v>
      </c>
      <c r="B34" s="4">
        <f t="shared" si="0"/>
        <v>0.9941839470718401</v>
      </c>
      <c r="C34" s="35">
        <f t="shared" si="1"/>
        <v>8.1581635452662574E-2</v>
      </c>
      <c r="D34" s="36">
        <f t="shared" si="2"/>
        <v>-5.8081965736684325E-4</v>
      </c>
      <c r="E34" s="37">
        <v>13</v>
      </c>
      <c r="F34" s="62">
        <v>2</v>
      </c>
      <c r="G34" s="56">
        <v>12.766314507405029</v>
      </c>
      <c r="H34" s="57">
        <v>91.460946459029415</v>
      </c>
      <c r="I34" s="58">
        <v>-1.959639879056966</v>
      </c>
      <c r="J34" s="48"/>
      <c r="K34" s="48"/>
      <c r="L34" s="48"/>
    </row>
    <row r="35" spans="1:12" ht="13.5" thickBot="1" x14ac:dyDescent="0.25">
      <c r="A35" s="34">
        <f>'1239'!B31</f>
        <v>68.500000000116415</v>
      </c>
      <c r="B35" s="4">
        <f t="shared" si="0"/>
        <v>0.99950110201047315</v>
      </c>
      <c r="C35" s="35">
        <f t="shared" si="1"/>
        <v>7.1832854075029352E-3</v>
      </c>
      <c r="D35" s="36">
        <f t="shared" si="2"/>
        <v>-3.8655221711151298E-5</v>
      </c>
      <c r="E35" s="37">
        <v>14</v>
      </c>
      <c r="F35" s="63">
        <v>3</v>
      </c>
      <c r="G35" s="59">
        <v>-0.24281108276671506</v>
      </c>
      <c r="H35" s="60">
        <v>-1.959639879056966</v>
      </c>
      <c r="I35" s="61">
        <v>0.12911209429752638</v>
      </c>
      <c r="J35" s="48"/>
      <c r="K35" s="48"/>
      <c r="L35" s="48"/>
    </row>
    <row r="36" spans="1:12" ht="13.5" thickBot="1" x14ac:dyDescent="0.25">
      <c r="A36" s="34">
        <f>'1239'!B32</f>
        <v>72.700000000011642</v>
      </c>
      <c r="B36" s="4">
        <f t="shared" si="0"/>
        <v>0.99974425283417867</v>
      </c>
      <c r="C36" s="35">
        <f t="shared" si="1"/>
        <v>3.7008645329127498E-3</v>
      </c>
      <c r="D36" s="36">
        <f t="shared" si="2"/>
        <v>-1.8692121935711687E-5</v>
      </c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>
        <f>'1239'!B33</f>
        <v>77.583333333372138</v>
      </c>
      <c r="B37" s="4">
        <f t="shared" si="0"/>
        <v>0.99988287666248576</v>
      </c>
      <c r="C37" s="35">
        <f t="shared" si="1"/>
        <v>1.7035855835966158E-3</v>
      </c>
      <c r="D37" s="36">
        <f t="shared" si="2"/>
        <v>-8.0308932954450095E-6</v>
      </c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>
        <f>'1239'!B34</f>
        <v>92.583333333372138</v>
      </c>
      <c r="B38" s="4">
        <f t="shared" si="0"/>
        <v>0.99998959592745884</v>
      </c>
      <c r="C38" s="35">
        <f t="shared" si="1"/>
        <v>1.5319614582077045E-4</v>
      </c>
      <c r="D38" s="36">
        <f t="shared" si="2"/>
        <v>-5.9947578552737952E-7</v>
      </c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>
        <f>'1239'!B35</f>
        <v>96.149999999965075</v>
      </c>
      <c r="B39" s="4">
        <f t="shared" si="0"/>
        <v>0.9999941734042509</v>
      </c>
      <c r="C39" s="35">
        <f t="shared" si="1"/>
        <v>8.5994714739602278E-5</v>
      </c>
      <c r="D39" s="36">
        <f t="shared" si="2"/>
        <v>-3.2344063838745275E-7</v>
      </c>
      <c r="E39" s="37">
        <v>18</v>
      </c>
    </row>
    <row r="40" spans="1:12" ht="13.5" thickBot="1" x14ac:dyDescent="0.25">
      <c r="A40" s="34">
        <f>'1239'!B36</f>
        <v>99.966666666674428</v>
      </c>
      <c r="B40" s="4">
        <f t="shared" si="0"/>
        <v>0.99999687150302963</v>
      </c>
      <c r="C40" s="35">
        <f t="shared" si="1"/>
        <v>4.6279867460538495E-5</v>
      </c>
      <c r="D40" s="36">
        <f t="shared" si="2"/>
        <v>-1.6712458187646027E-7</v>
      </c>
      <c r="E40" s="37">
        <v>19</v>
      </c>
      <c r="K40" s="64"/>
      <c r="L40" s="64"/>
    </row>
    <row r="41" spans="1:12" ht="13.5" thickBot="1" x14ac:dyDescent="0.25">
      <c r="A41" s="34">
        <f>'1239'!B37</f>
        <v>101.93333333329065</v>
      </c>
      <c r="B41" s="4">
        <f>Q_LA($C$3,$C$4,$C$5,A41,$I$7)</f>
        <v>0.99999773052797081</v>
      </c>
      <c r="C41" s="35">
        <f>Q_Lumax($C$3,$C$4,$C$5,A41,$I$8)</f>
        <v>3.3609804372263915E-5</v>
      </c>
      <c r="D41" s="36">
        <f>Q_Llameda($C$3,$C$4,$C$5,A41,$I$9)</f>
        <v>-1.1892638392320906E-7</v>
      </c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>
        <f>'1239'!B38</f>
        <v>103.33333333331393</v>
      </c>
      <c r="B42" s="4">
        <f t="shared" si="0"/>
        <v>0.99999819454380467</v>
      </c>
      <c r="C42" s="35">
        <f t="shared" ref="C42:C44" si="3">Q_Lumax($C$3,$C$4,$C$5,A42,$I$8)</f>
        <v>2.6758473119175182E-5</v>
      </c>
      <c r="D42" s="36">
        <f t="shared" ref="D42:D44" si="4">Q_Llameda($C$3,$C$4,$C$5,A42,$I$9)</f>
        <v>-9.3345799663646972E-8</v>
      </c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>
        <f>'1239'!B39</f>
        <v>144.33333333337214</v>
      </c>
      <c r="B43" s="4">
        <f t="shared" si="0"/>
        <v>0.99999999791315031</v>
      </c>
      <c r="C43" s="35">
        <f t="shared" si="3"/>
        <v>3.143757360078372E-8</v>
      </c>
      <c r="D43" s="36">
        <f t="shared" si="4"/>
        <v>-7.5398838333768586E-11</v>
      </c>
      <c r="E43" s="37">
        <v>22</v>
      </c>
      <c r="F43" s="71">
        <v>1</v>
      </c>
      <c r="G43" s="72">
        <f t="array" ref="G43:I45">MINVERSE(G33:I35)</f>
        <v>6.9158124750612004E-2</v>
      </c>
      <c r="H43" s="73">
        <v>-1.0175704490620186E-2</v>
      </c>
      <c r="I43" s="74">
        <v>-2.4384680471928682E-2</v>
      </c>
      <c r="J43" s="67"/>
      <c r="K43" s="67"/>
      <c r="L43" s="67"/>
    </row>
    <row r="44" spans="1:12" ht="13.5" thickBot="1" x14ac:dyDescent="0.25">
      <c r="A44" s="34">
        <f>'1239'!B40</f>
        <v>165.08333333343035</v>
      </c>
      <c r="B44" s="4">
        <f t="shared" si="0"/>
        <v>0.99999999993360278</v>
      </c>
      <c r="C44" s="35">
        <f t="shared" si="3"/>
        <v>9.7840114400473493E-10</v>
      </c>
      <c r="D44" s="36">
        <f t="shared" si="4"/>
        <v>-4.0756128829064107E-12</v>
      </c>
      <c r="E44" s="37">
        <v>23</v>
      </c>
      <c r="F44" s="79">
        <v>2</v>
      </c>
      <c r="G44" s="75">
        <v>-1.0175704490620186E-2</v>
      </c>
      <c r="H44" s="76">
        <v>1.7699978209783019E-2</v>
      </c>
      <c r="I44" s="77">
        <v>0.24951039256487148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-2.4384680471928721E-2</v>
      </c>
      <c r="H45" s="76">
        <v>0.24951039256487154</v>
      </c>
      <c r="I45" s="78">
        <v>11.4863727748345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17.614777671338977</v>
      </c>
      <c r="D6" s="126">
        <f>SUM(E18:E86)</f>
        <v>0.94153699480422948</v>
      </c>
      <c r="E6" s="111">
        <f>$C$6-$D$6</f>
        <v>16.673240676534746</v>
      </c>
      <c r="F6" s="112">
        <f>$E$6/$C$6</f>
        <v>0.9465484599140751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0.97290722060948598</v>
      </c>
      <c r="D8" s="2">
        <f>D6/(COUNT(E18:E51)-COUNT(D11:D13)-1)</f>
        <v>9.4153699480422945E-2</v>
      </c>
      <c r="E8" s="2">
        <f>(E6/1)</f>
        <v>16.673240676534746</v>
      </c>
      <c r="F8" s="2">
        <f>E8/D8</f>
        <v>177.08534840950733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3.5429774331332586</v>
      </c>
      <c r="E11" s="163">
        <f>ERROS_1255!F3</f>
        <v>0.10544520563383283</v>
      </c>
      <c r="F11" s="2">
        <f>(5.5-D11)/5.5</f>
        <v>0.35582228488486206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1">
        <v>0.26136884999555032</v>
      </c>
      <c r="E12" s="163">
        <f>ERROS_1255!F4</f>
        <v>6.0668395718590798E-2</v>
      </c>
      <c r="F12" s="2">
        <f>('1239'!$D12-D12)/'1239'!$D12</f>
        <v>0.24231800796230224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6.2289225100472434</v>
      </c>
      <c r="E13" s="163">
        <f>ERROS_1255!F5</f>
        <v>1.7151853195957343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6">
        <v>0</v>
      </c>
      <c r="C18" s="144">
        <v>0.4375</v>
      </c>
      <c r="D18" s="132">
        <f>$C$18+$D$11*EXP(-EXP(($D$12*EXP(1))/$D$11*($D$13-B18)+1))</f>
        <v>0.43777080421267772</v>
      </c>
      <c r="E18" s="133">
        <f>(C18-D18)^2</f>
        <v>7.3334921604000963E-8</v>
      </c>
      <c r="F18" s="94">
        <v>0</v>
      </c>
      <c r="G18" s="94">
        <f>$C$18+$D$11*EXP(-EXP(($D$12*EXP(1))/$D$11*($D$13-F18)+1))</f>
        <v>0.43777080421267772</v>
      </c>
      <c r="H18" s="95"/>
      <c r="I18" s="95"/>
      <c r="K18" s="4"/>
      <c r="L18" s="4"/>
      <c r="M18" s="4"/>
      <c r="N18" s="122"/>
      <c r="O18" s="122"/>
    </row>
    <row r="19" spans="2:15" ht="13.5" customHeight="1" x14ac:dyDescent="0.2">
      <c r="B19" s="136">
        <v>8.25</v>
      </c>
      <c r="C19" s="144">
        <v>1.0116666666666667</v>
      </c>
      <c r="D19" s="132">
        <f t="shared" ref="D19:D31" si="0">$C$18+$D$11*EXP(-EXP(($D$12*EXP(1))/$D$11*($D$13-B19)+1))</f>
        <v>1.0158691995149871</v>
      </c>
      <c r="E19" s="133">
        <f t="shared" ref="E19:E31" si="1">(C19-D19)^2</f>
        <v>1.7661282341211933E-5</v>
      </c>
      <c r="F19" s="94">
        <v>1</v>
      </c>
      <c r="G19" s="94">
        <f t="shared" ref="G19:G61" si="2">$C$18+$D$11*EXP(-EXP(($D$12*EXP(1))/$D$11*($D$13-F19)+1))</f>
        <v>0.43901591776252435</v>
      </c>
      <c r="H19" s="95"/>
      <c r="I19" s="95"/>
      <c r="J19" s="95"/>
      <c r="K19" s="150"/>
      <c r="L19" s="150"/>
      <c r="M19" s="150"/>
      <c r="N19" s="4"/>
    </row>
    <row r="20" spans="2:15" x14ac:dyDescent="0.2">
      <c r="B20" s="136">
        <v>20.916666666744277</v>
      </c>
      <c r="C20" s="144">
        <v>3.5933333333333337</v>
      </c>
      <c r="D20" s="132">
        <f t="shared" si="0"/>
        <v>3.508577384081744</v>
      </c>
      <c r="E20" s="133">
        <f t="shared" si="1"/>
        <v>7.1835709335380474E-3</v>
      </c>
      <c r="F20" s="94">
        <v>2</v>
      </c>
      <c r="G20" s="94">
        <f t="shared" si="2"/>
        <v>0.4437055194804071</v>
      </c>
      <c r="H20" s="95"/>
      <c r="I20" s="95"/>
      <c r="J20" s="95"/>
      <c r="K20" s="147"/>
      <c r="L20" s="147"/>
      <c r="M20" s="147"/>
      <c r="N20" s="122"/>
    </row>
    <row r="21" spans="2:15" x14ac:dyDescent="0.2">
      <c r="B21" s="136">
        <v>23.000000000058208</v>
      </c>
      <c r="C21" s="130">
        <v>3.48</v>
      </c>
      <c r="D21" s="132">
        <f t="shared" si="0"/>
        <v>3.6622011841276234</v>
      </c>
      <c r="E21" s="133">
        <f t="shared" si="1"/>
        <v>3.3197271497508132E-2</v>
      </c>
      <c r="F21" s="94">
        <v>3</v>
      </c>
      <c r="G21" s="94">
        <f t="shared" si="2"/>
        <v>0.4571634453785024</v>
      </c>
      <c r="H21" s="95"/>
      <c r="I21" s="95"/>
      <c r="J21" s="95"/>
      <c r="K21" s="147"/>
      <c r="L21" s="124"/>
      <c r="M21" s="124"/>
      <c r="N21" s="122"/>
    </row>
    <row r="22" spans="2:15" x14ac:dyDescent="0.2">
      <c r="B22" s="136">
        <v>26.666666666802485</v>
      </c>
      <c r="C22" s="130">
        <v>4.1133333333333333</v>
      </c>
      <c r="D22" s="132">
        <f t="shared" si="0"/>
        <v>3.8241644372179771</v>
      </c>
      <c r="E22" s="133">
        <f t="shared" si="1"/>
        <v>8.3618650480573681E-2</v>
      </c>
      <c r="F22" s="94">
        <v>4</v>
      </c>
      <c r="G22" s="94">
        <f t="shared" si="2"/>
        <v>0.48802767156155957</v>
      </c>
      <c r="H22" s="95"/>
      <c r="I22" s="95"/>
      <c r="J22" s="95"/>
      <c r="K22" s="148"/>
      <c r="L22" s="124"/>
      <c r="M22" s="124"/>
      <c r="N22" s="4"/>
    </row>
    <row r="23" spans="2:15" x14ac:dyDescent="0.2">
      <c r="B23" s="138">
        <v>28.666666666686069</v>
      </c>
      <c r="C23" s="130">
        <v>3.6799999999999997</v>
      </c>
      <c r="D23" s="132">
        <f t="shared" si="0"/>
        <v>3.8750305873939195</v>
      </c>
      <c r="E23" s="133">
        <f t="shared" si="1"/>
        <v>3.8036930019217374E-2</v>
      </c>
      <c r="F23" s="94">
        <v>5</v>
      </c>
      <c r="G23" s="94">
        <f t="shared" si="2"/>
        <v>0.54687656841115984</v>
      </c>
      <c r="H23" s="95"/>
      <c r="I23" s="95"/>
      <c r="J23" s="95"/>
      <c r="K23" s="148"/>
      <c r="L23" s="124"/>
      <c r="M23" s="124"/>
      <c r="N23" s="4"/>
    </row>
    <row r="24" spans="2:15" x14ac:dyDescent="0.2">
      <c r="B24" s="138">
        <v>47.166666666744277</v>
      </c>
      <c r="C24" s="130">
        <v>3.4333333333333336</v>
      </c>
      <c r="D24" s="132">
        <f t="shared" si="0"/>
        <v>3.9778576374951968</v>
      </c>
      <c r="E24" s="133">
        <f t="shared" si="1"/>
        <v>0.2965067178229614</v>
      </c>
      <c r="F24" s="94">
        <v>6</v>
      </c>
      <c r="G24" s="94">
        <f t="shared" si="2"/>
        <v>0.64326757093502751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38">
        <v>71.25</v>
      </c>
      <c r="C25" s="130">
        <v>3.7833333333333337</v>
      </c>
      <c r="D25" s="132">
        <f t="shared" si="0"/>
        <v>3.9804564906181668</v>
      </c>
      <c r="E25" s="133">
        <f t="shared" si="1"/>
        <v>3.8857539137941044E-2</v>
      </c>
      <c r="F25" s="94">
        <v>7</v>
      </c>
      <c r="G25" s="94">
        <f t="shared" si="2"/>
        <v>0.78261244866952007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38">
        <v>93.500000000058208</v>
      </c>
      <c r="C26" s="130">
        <v>4</v>
      </c>
      <c r="D26" s="132">
        <f t="shared" si="0"/>
        <v>3.9804771914226538</v>
      </c>
      <c r="E26" s="133">
        <f t="shared" si="1"/>
        <v>3.8114005474770347E-4</v>
      </c>
      <c r="F26" s="94">
        <v>8</v>
      </c>
      <c r="G26" s="94">
        <f t="shared" si="2"/>
        <v>0.96441034695255767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38">
        <v>101.91666666674428</v>
      </c>
      <c r="C27" s="130">
        <v>4.1833333333333327</v>
      </c>
      <c r="D27" s="132">
        <f t="shared" si="0"/>
        <v>3.980477388434541</v>
      </c>
      <c r="E27" s="133">
        <f t="shared" si="1"/>
        <v>4.1150534380781596E-2</v>
      </c>
      <c r="F27" s="94">
        <v>9</v>
      </c>
      <c r="G27" s="94">
        <f t="shared" si="2"/>
        <v>1.1824379667728839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38">
        <v>118.5</v>
      </c>
      <c r="C28" s="130">
        <v>4.3500000000000005</v>
      </c>
      <c r="D28" s="132">
        <f t="shared" si="0"/>
        <v>3.9804774315260731</v>
      </c>
      <c r="E28" s="133">
        <f t="shared" si="1"/>
        <v>0.13654692861156836</v>
      </c>
      <c r="F28" s="94">
        <v>10</v>
      </c>
      <c r="G28" s="94">
        <f t="shared" si="2"/>
        <v>1.4264591173098853</v>
      </c>
      <c r="H28" s="95"/>
      <c r="I28" s="95"/>
      <c r="J28" s="122"/>
      <c r="K28" s="122"/>
      <c r="L28" s="122"/>
    </row>
    <row r="29" spans="2:15" x14ac:dyDescent="0.2">
      <c r="B29" s="138">
        <v>125.83333333331393</v>
      </c>
      <c r="C29" s="130">
        <v>4.33</v>
      </c>
      <c r="D29" s="132">
        <f t="shared" si="0"/>
        <v>3.980477432763931</v>
      </c>
      <c r="E29" s="133">
        <f t="shared" si="1"/>
        <v>0.12216602500729246</v>
      </c>
      <c r="F29" s="94">
        <v>15</v>
      </c>
      <c r="G29" s="94">
        <f t="shared" si="2"/>
        <v>2.6558653958965768</v>
      </c>
      <c r="H29" s="95"/>
      <c r="I29" s="95"/>
      <c r="J29" s="122"/>
      <c r="K29" s="122"/>
      <c r="L29" s="122"/>
    </row>
    <row r="30" spans="2:15" x14ac:dyDescent="0.2">
      <c r="B30" s="138">
        <v>141.50000000005821</v>
      </c>
      <c r="C30" s="130">
        <v>3.6333333333333333</v>
      </c>
      <c r="D30" s="132">
        <f t="shared" si="0"/>
        <v>3.9804774331172994</v>
      </c>
      <c r="E30" s="133">
        <f t="shared" si="1"/>
        <v>0.12050902601482021</v>
      </c>
      <c r="F30" s="94">
        <v>20</v>
      </c>
      <c r="G30" s="94">
        <f t="shared" si="2"/>
        <v>3.4212578273692045</v>
      </c>
      <c r="H30" s="95"/>
      <c r="I30" s="95"/>
      <c r="J30" s="122"/>
      <c r="K30" s="122"/>
      <c r="L30" s="122"/>
    </row>
    <row r="31" spans="2:15" x14ac:dyDescent="0.2">
      <c r="B31" s="138">
        <v>165.25000000011642</v>
      </c>
      <c r="C31" s="130">
        <v>4.1333333333333329</v>
      </c>
      <c r="D31" s="132">
        <f t="shared" si="0"/>
        <v>3.9804774331331223</v>
      </c>
      <c r="E31" s="133">
        <f t="shared" si="1"/>
        <v>2.3364926226016731E-2</v>
      </c>
      <c r="F31" s="94">
        <v>25</v>
      </c>
      <c r="G31" s="94">
        <f t="shared" si="2"/>
        <v>3.764060903251889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30</v>
      </c>
      <c r="G32" s="94">
        <f t="shared" si="2"/>
        <v>3.8994845032048233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35</v>
      </c>
      <c r="G33" s="94">
        <f t="shared" si="2"/>
        <v>3.9505429356665847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40</v>
      </c>
      <c r="G34" s="94">
        <f t="shared" si="2"/>
        <v>3.9694647950787654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45</v>
      </c>
      <c r="G35" s="94">
        <f t="shared" si="2"/>
        <v>3.9764328547205423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50</v>
      </c>
      <c r="G36" s="94">
        <f t="shared" si="2"/>
        <v>3.9789929190093591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55</v>
      </c>
      <c r="G37" s="94">
        <f t="shared" si="2"/>
        <v>3.9799326846714296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60</v>
      </c>
      <c r="G38" s="94">
        <f t="shared" si="2"/>
        <v>3.9802775522690617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65</v>
      </c>
      <c r="G39" s="94">
        <f t="shared" si="2"/>
        <v>3.980404094461246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70</v>
      </c>
      <c r="G40" s="94">
        <f t="shared" si="2"/>
        <v>3.9804505246044046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75</v>
      </c>
      <c r="G41" s="94">
        <f t="shared" si="2"/>
        <v>3.9804675602258071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80</v>
      </c>
      <c r="G42" s="94">
        <f t="shared" si="2"/>
        <v>3.9804738107073092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85</v>
      </c>
      <c r="G43" s="94">
        <f t="shared" si="2"/>
        <v>3.9804761040452981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90</v>
      </c>
      <c r="G44" s="94">
        <f t="shared" si="2"/>
        <v>3.9804769454836917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151">
        <v>95</v>
      </c>
      <c r="G45" s="94">
        <f t="shared" si="2"/>
        <v>3.9804772542120062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100</v>
      </c>
      <c r="G46" s="94">
        <f t="shared" si="2"/>
        <v>3.9804773674860896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105</v>
      </c>
      <c r="G47" s="94">
        <f t="shared" si="2"/>
        <v>3.9804774090469595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110</v>
      </c>
      <c r="G48" s="94">
        <f t="shared" si="2"/>
        <v>3.980477424295866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115</v>
      </c>
      <c r="G49" s="94">
        <f t="shared" si="2"/>
        <v>3.9804774298907719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120</v>
      </c>
      <c r="G50" s="94">
        <f t="shared" si="2"/>
        <v>3.980477431943573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125</v>
      </c>
      <c r="G51" s="94">
        <f t="shared" si="2"/>
        <v>3.9804774326967567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130</v>
      </c>
      <c r="G52" s="94">
        <f t="shared" si="2"/>
        <v>3.9804774329731036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135</v>
      </c>
      <c r="G53" s="94">
        <f t="shared" si="2"/>
        <v>3.9804774330744968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140</v>
      </c>
      <c r="G54" s="94">
        <f t="shared" si="2"/>
        <v>3.9804774331116985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145</v>
      </c>
      <c r="G55" s="94">
        <f t="shared" si="2"/>
        <v>3.9804774331253481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150</v>
      </c>
      <c r="G56" s="94">
        <f t="shared" si="2"/>
        <v>3.9804774331303561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155</v>
      </c>
      <c r="G57" s="94">
        <f t="shared" si="2"/>
        <v>3.9804774331321937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160</v>
      </c>
      <c r="G58" s="94">
        <f t="shared" si="2"/>
        <v>3.9804774331328678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165</v>
      </c>
      <c r="G59" s="94">
        <f t="shared" si="2"/>
        <v>3.9804774331331156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170</v>
      </c>
      <c r="G60" s="94">
        <f t="shared" si="2"/>
        <v>3.9804774331332058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175</v>
      </c>
      <c r="G61" s="94">
        <f t="shared" si="2"/>
        <v>3.9804774331332395</v>
      </c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5"/>
      <c r="G66" s="4"/>
      <c r="H66" s="122"/>
      <c r="I66" s="122"/>
      <c r="J66" s="122"/>
    </row>
    <row r="67" spans="2:12" x14ac:dyDescent="0.2">
      <c r="B67" s="122"/>
      <c r="C67" s="94"/>
      <c r="D67" s="94"/>
      <c r="E67" s="95"/>
      <c r="F67" s="95"/>
      <c r="G67" s="4"/>
      <c r="H67" s="122"/>
      <c r="I67" s="122"/>
      <c r="J67" s="122"/>
    </row>
    <row r="68" spans="2:12" x14ac:dyDescent="0.2">
      <c r="B68" s="122"/>
      <c r="C68" s="94"/>
      <c r="D68" s="94"/>
      <c r="E68" s="95"/>
      <c r="F68" s="95"/>
      <c r="G68" s="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5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5"/>
      <c r="G70" s="103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5"/>
      <c r="G71" s="103"/>
      <c r="I71" s="122"/>
      <c r="J71" s="122"/>
    </row>
    <row r="72" spans="2:12" s="4" customFormat="1" x14ac:dyDescent="0.2">
      <c r="B72" s="82"/>
      <c r="C72" s="94"/>
      <c r="D72" s="94"/>
      <c r="E72" s="95"/>
      <c r="F72" s="95"/>
      <c r="G72" s="103"/>
    </row>
    <row r="73" spans="2:12" s="4" customFormat="1" x14ac:dyDescent="0.2">
      <c r="B73" s="82"/>
      <c r="C73" s="94"/>
      <c r="D73" s="94"/>
      <c r="E73" s="95"/>
      <c r="F73" s="95"/>
      <c r="G73" s="103"/>
    </row>
    <row r="74" spans="2:12" s="4" customFormat="1" x14ac:dyDescent="0.2">
      <c r="B74" s="82"/>
      <c r="C74" s="94"/>
      <c r="D74" s="94"/>
      <c r="E74" s="95"/>
      <c r="F74" s="95"/>
      <c r="G74" s="103"/>
    </row>
    <row r="75" spans="2:12" s="4" customFormat="1" x14ac:dyDescent="0.2">
      <c r="B75" s="82"/>
      <c r="C75" s="94"/>
      <c r="D75" s="94"/>
      <c r="E75" s="95"/>
      <c r="F75" s="95"/>
      <c r="G75" s="103"/>
    </row>
    <row r="76" spans="2:12" s="4" customFormat="1" x14ac:dyDescent="0.2">
      <c r="B76" s="82"/>
      <c r="C76" s="94"/>
      <c r="D76" s="94"/>
      <c r="E76" s="95"/>
      <c r="F76" s="95"/>
      <c r="G76" s="103"/>
    </row>
    <row r="77" spans="2:12" s="4" customFormat="1" x14ac:dyDescent="0.2">
      <c r="B77" s="82"/>
      <c r="C77" s="94"/>
      <c r="D77" s="94"/>
      <c r="E77" s="95"/>
      <c r="F77" s="95"/>
      <c r="G77" s="103"/>
    </row>
    <row r="78" spans="2:12" s="4" customFormat="1" x14ac:dyDescent="0.2">
      <c r="B78" s="82"/>
      <c r="C78" s="94"/>
      <c r="D78" s="94"/>
      <c r="E78" s="95"/>
      <c r="F78" s="95"/>
      <c r="G78" s="103"/>
    </row>
    <row r="79" spans="2:12" s="4" customFormat="1" x14ac:dyDescent="0.2">
      <c r="B79" s="82"/>
      <c r="C79" s="94"/>
      <c r="D79" s="94"/>
      <c r="E79" s="95"/>
      <c r="F79" s="95"/>
      <c r="G79" s="103"/>
    </row>
    <row r="80" spans="2:12" s="4" customFormat="1" x14ac:dyDescent="0.2">
      <c r="B80" s="82"/>
      <c r="C80" s="94"/>
      <c r="D80" s="94"/>
      <c r="E80" s="95"/>
      <c r="F80" s="95"/>
      <c r="G80" s="103"/>
    </row>
    <row r="81" spans="2:7" s="4" customFormat="1" ht="13.5" customHeight="1" x14ac:dyDescent="0.2">
      <c r="B81" s="82"/>
      <c r="C81" s="94"/>
      <c r="D81" s="94"/>
      <c r="E81" s="95"/>
      <c r="F81" s="95"/>
      <c r="G81" s="103"/>
    </row>
    <row r="82" spans="2:7" s="4" customFormat="1" x14ac:dyDescent="0.2">
      <c r="B82" s="82"/>
      <c r="C82" s="94"/>
      <c r="D82" s="94"/>
      <c r="E82" s="95"/>
      <c r="F82" s="95"/>
      <c r="G82" s="103"/>
    </row>
    <row r="83" spans="2:7" s="4" customFormat="1" x14ac:dyDescent="0.2">
      <c r="B83" s="82"/>
      <c r="C83" s="94"/>
      <c r="D83" s="94"/>
      <c r="E83" s="95"/>
      <c r="F83" s="95"/>
      <c r="G83" s="103"/>
    </row>
    <row r="84" spans="2:7" s="4" customFormat="1" x14ac:dyDescent="0.2">
      <c r="B84" s="10"/>
      <c r="C84" s="94"/>
      <c r="D84" s="94"/>
      <c r="E84" s="95"/>
      <c r="F84" s="95"/>
      <c r="G84" s="103"/>
    </row>
    <row r="85" spans="2:7" s="4" customFormat="1" x14ac:dyDescent="0.2">
      <c r="B85" s="10"/>
      <c r="C85" s="10"/>
      <c r="D85" s="94"/>
      <c r="E85" s="95"/>
      <c r="F85" s="95"/>
      <c r="G85" s="103"/>
    </row>
    <row r="86" spans="2:7" s="4" customFormat="1" x14ac:dyDescent="0.2">
      <c r="B86" s="10"/>
      <c r="C86" s="10"/>
      <c r="D86" s="94"/>
      <c r="E86" s="95"/>
      <c r="F86" s="95"/>
      <c r="G86" s="103"/>
    </row>
    <row r="87" spans="2:7" s="4" customFormat="1" x14ac:dyDescent="0.2">
      <c r="B87" s="10"/>
      <c r="C87" s="10"/>
      <c r="D87" s="10"/>
      <c r="E87" s="10"/>
      <c r="F87" s="95"/>
      <c r="G87" s="103"/>
    </row>
    <row r="88" spans="2:7" s="4" customFormat="1" x14ac:dyDescent="0.2">
      <c r="B88" s="10"/>
      <c r="C88" s="10"/>
      <c r="D88" s="10"/>
      <c r="E88" s="10"/>
      <c r="F88" s="95"/>
      <c r="G88" s="103"/>
    </row>
    <row r="89" spans="2:7" s="4" customFormat="1" x14ac:dyDescent="0.2">
      <c r="B89" s="10"/>
      <c r="C89" s="10"/>
      <c r="D89" s="10"/>
      <c r="E89" s="10"/>
      <c r="F89" s="95"/>
      <c r="G89" s="103"/>
    </row>
    <row r="90" spans="2:7" s="4" customFormat="1" x14ac:dyDescent="0.2">
      <c r="B90" s="10"/>
      <c r="C90" s="10"/>
      <c r="D90" s="10"/>
      <c r="E90" s="10"/>
      <c r="F90" s="95"/>
      <c r="G90" s="103"/>
    </row>
    <row r="91" spans="2:7" s="4" customFormat="1" x14ac:dyDescent="0.2">
      <c r="B91" s="10"/>
      <c r="C91" s="10"/>
      <c r="D91" s="10"/>
      <c r="E91" s="10"/>
      <c r="F91" s="95"/>
      <c r="G91" s="103"/>
    </row>
    <row r="92" spans="2:7" s="4" customFormat="1" ht="13.5" customHeight="1" x14ac:dyDescent="0.2">
      <c r="B92" s="10"/>
      <c r="C92" s="10"/>
      <c r="D92" s="10"/>
      <c r="E92" s="10"/>
      <c r="F92" s="95"/>
      <c r="G92" s="103"/>
    </row>
    <row r="93" spans="2:7" s="4" customFormat="1" x14ac:dyDescent="0.2">
      <c r="B93" s="10"/>
      <c r="C93" s="10"/>
      <c r="D93" s="10"/>
      <c r="E93" s="10"/>
      <c r="F93" s="95"/>
      <c r="G93" s="103"/>
    </row>
    <row r="94" spans="2:7" s="4" customFormat="1" x14ac:dyDescent="0.2">
      <c r="B94" s="10"/>
      <c r="C94" s="10"/>
      <c r="D94" s="10"/>
      <c r="E94" s="10"/>
      <c r="F94" s="95"/>
      <c r="G94" s="103"/>
    </row>
    <row r="95" spans="2:7" s="4" customFormat="1" x14ac:dyDescent="0.2">
      <c r="B95" s="10"/>
      <c r="C95" s="10"/>
      <c r="D95" s="10"/>
      <c r="E95" s="10"/>
      <c r="F95" s="95"/>
      <c r="G95" s="103"/>
    </row>
    <row r="96" spans="2:7" s="4" customFormat="1" x14ac:dyDescent="0.2">
      <c r="B96" s="10"/>
      <c r="C96" s="10"/>
      <c r="D96" s="10"/>
      <c r="E96" s="10"/>
      <c r="F96" s="95"/>
      <c r="G96" s="103"/>
    </row>
    <row r="97" spans="2:12" s="4" customFormat="1" x14ac:dyDescent="0.2">
      <c r="B97" s="10"/>
      <c r="C97" s="10"/>
      <c r="D97" s="10"/>
      <c r="E97" s="10"/>
      <c r="F97" s="95"/>
      <c r="G97" s="103"/>
    </row>
    <row r="98" spans="2:12" s="4" customFormat="1" x14ac:dyDescent="0.2">
      <c r="B98" s="10"/>
      <c r="C98" s="10"/>
      <c r="D98" s="10"/>
      <c r="E98" s="10"/>
      <c r="F98" s="95"/>
      <c r="G98" s="103"/>
    </row>
    <row r="99" spans="2:12" s="4" customFormat="1" x14ac:dyDescent="0.2">
      <c r="B99" s="10"/>
      <c r="C99" s="10"/>
      <c r="D99" s="10"/>
      <c r="E99" s="10"/>
      <c r="F99" s="95"/>
      <c r="G99" s="103"/>
    </row>
    <row r="100" spans="2:12" s="4" customFormat="1" x14ac:dyDescent="0.2">
      <c r="B100" s="10"/>
      <c r="C100" s="10"/>
      <c r="D100" s="10"/>
      <c r="E100" s="10"/>
      <c r="F100" s="95"/>
      <c r="G100" s="103"/>
    </row>
    <row r="101" spans="2:12" s="4" customFormat="1" x14ac:dyDescent="0.2">
      <c r="B101" s="10"/>
      <c r="C101" s="10"/>
      <c r="D101" s="10"/>
      <c r="E101" s="10"/>
      <c r="F101" s="95"/>
      <c r="G101" s="103"/>
    </row>
    <row r="102" spans="2:12" s="4" customFormat="1" ht="13.5" customHeight="1" x14ac:dyDescent="0.2">
      <c r="B102" s="10"/>
      <c r="C102" s="10"/>
      <c r="D102" s="10"/>
      <c r="E102" s="10"/>
      <c r="F102" s="95"/>
      <c r="G102" s="103"/>
    </row>
    <row r="103" spans="2:12" x14ac:dyDescent="0.2">
      <c r="B103" s="10"/>
      <c r="C103" s="10"/>
      <c r="D103" s="10"/>
      <c r="E103" s="10"/>
      <c r="F103" s="95"/>
      <c r="G103" s="103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4"/>
      <c r="G104" s="103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4"/>
      <c r="G105" s="103"/>
      <c r="H105" s="4"/>
      <c r="I105" s="4"/>
      <c r="J105" s="4"/>
    </row>
    <row r="106" spans="2:12" x14ac:dyDescent="0.2">
      <c r="B106" s="10"/>
      <c r="C106" s="10"/>
      <c r="D106" s="10"/>
      <c r="E106" s="10"/>
      <c r="F106" s="4"/>
      <c r="G106" s="103"/>
      <c r="H106" s="4"/>
      <c r="I106" s="4"/>
      <c r="J106" s="4"/>
    </row>
    <row r="107" spans="2:12" x14ac:dyDescent="0.2">
      <c r="B107" s="10"/>
      <c r="C107" s="10"/>
      <c r="D107" s="10"/>
      <c r="E107" s="10"/>
      <c r="F107" s="4"/>
      <c r="G107" s="103"/>
    </row>
    <row r="108" spans="2:12" x14ac:dyDescent="0.2">
      <c r="B108" s="10"/>
      <c r="C108" s="10"/>
      <c r="D108" s="10"/>
      <c r="E108" s="10"/>
      <c r="F108" s="4"/>
      <c r="G108" s="103"/>
    </row>
    <row r="109" spans="2:12" x14ac:dyDescent="0.2">
      <c r="B109" s="10"/>
      <c r="C109" s="10"/>
      <c r="D109" s="10"/>
      <c r="E109" s="10"/>
      <c r="F109" s="4"/>
      <c r="G109" s="103"/>
    </row>
    <row r="110" spans="2:12" x14ac:dyDescent="0.2">
      <c r="B110" s="10"/>
      <c r="C110" s="10"/>
      <c r="D110" s="10"/>
      <c r="E110" s="10"/>
      <c r="F110" s="4"/>
      <c r="G110" s="103"/>
    </row>
    <row r="111" spans="2:12" x14ac:dyDescent="0.2">
      <c r="B111" s="10"/>
      <c r="C111" s="10"/>
      <c r="D111" s="10"/>
      <c r="E111" s="10"/>
      <c r="F111" s="4"/>
      <c r="G111" s="103"/>
    </row>
    <row r="112" spans="2:12" x14ac:dyDescent="0.2">
      <c r="B112" s="10"/>
      <c r="C112" s="10"/>
      <c r="D112" s="10"/>
      <c r="E112" s="10"/>
      <c r="F112" s="4"/>
      <c r="G112" s="103"/>
    </row>
    <row r="113" spans="2:7" x14ac:dyDescent="0.2">
      <c r="B113" s="10"/>
      <c r="C113" s="10"/>
      <c r="D113" s="10"/>
      <c r="E113" s="10"/>
      <c r="F113" s="4"/>
      <c r="G113" s="103"/>
    </row>
    <row r="114" spans="2:7" x14ac:dyDescent="0.2">
      <c r="B114" s="10"/>
      <c r="C114" s="10"/>
      <c r="D114" s="10"/>
      <c r="E114" s="10"/>
      <c r="F114" s="4"/>
      <c r="G114" s="103"/>
    </row>
    <row r="115" spans="2:7" x14ac:dyDescent="0.2">
      <c r="B115" s="10"/>
      <c r="C115" s="10"/>
      <c r="D115" s="10"/>
      <c r="E115" s="10"/>
      <c r="F115" s="4"/>
      <c r="G115" s="103"/>
    </row>
    <row r="116" spans="2:7" x14ac:dyDescent="0.2">
      <c r="B116" s="10"/>
      <c r="C116" s="10"/>
      <c r="D116" s="10"/>
      <c r="E116" s="10"/>
      <c r="F116" s="4"/>
      <c r="G116" s="103"/>
    </row>
    <row r="117" spans="2:7" x14ac:dyDescent="0.2">
      <c r="B117" s="10"/>
      <c r="C117" s="10"/>
      <c r="D117" s="10"/>
      <c r="E117" s="10"/>
      <c r="F117" s="4"/>
      <c r="G117" s="103"/>
    </row>
    <row r="118" spans="2:7" x14ac:dyDescent="0.2">
      <c r="B118" s="10"/>
      <c r="C118" s="10"/>
      <c r="D118" s="10"/>
      <c r="E118" s="10"/>
      <c r="F118" s="4"/>
      <c r="G118" s="103"/>
    </row>
    <row r="119" spans="2:7" x14ac:dyDescent="0.2">
      <c r="B119" s="10"/>
      <c r="C119" s="10"/>
      <c r="D119" s="10"/>
      <c r="E119" s="10"/>
      <c r="F119" s="4"/>
      <c r="G119" s="103"/>
    </row>
    <row r="120" spans="2:7" x14ac:dyDescent="0.2">
      <c r="B120" s="10"/>
      <c r="C120" s="10"/>
      <c r="D120" s="10"/>
      <c r="E120" s="10"/>
      <c r="F120" s="4"/>
      <c r="G120" s="103"/>
    </row>
    <row r="121" spans="2:7" x14ac:dyDescent="0.2">
      <c r="B121" s="10"/>
      <c r="C121" s="10"/>
      <c r="D121" s="10"/>
      <c r="E121" s="10"/>
      <c r="F121" s="4"/>
      <c r="G121" s="103"/>
    </row>
    <row r="122" spans="2:7" x14ac:dyDescent="0.2">
      <c r="B122" s="10"/>
      <c r="C122" s="10"/>
      <c r="D122" s="10"/>
      <c r="E122" s="10"/>
      <c r="F122" s="4"/>
      <c r="G122" s="103"/>
    </row>
    <row r="123" spans="2:7" x14ac:dyDescent="0.2">
      <c r="B123" s="10"/>
      <c r="C123" s="10"/>
      <c r="D123" s="10"/>
      <c r="E123" s="10"/>
      <c r="F123" s="4"/>
      <c r="G123" s="103"/>
    </row>
    <row r="124" spans="2:7" x14ac:dyDescent="0.2">
      <c r="B124" s="10"/>
      <c r="C124" s="10"/>
      <c r="D124" s="10"/>
      <c r="E124" s="10"/>
      <c r="F124" s="4"/>
      <c r="G124" s="103"/>
    </row>
    <row r="125" spans="2:7" x14ac:dyDescent="0.2">
      <c r="B125" s="10"/>
      <c r="C125" s="10"/>
      <c r="D125" s="10"/>
      <c r="E125" s="10"/>
      <c r="F125" s="4"/>
      <c r="G125" s="103"/>
    </row>
    <row r="126" spans="2:7" x14ac:dyDescent="0.2">
      <c r="B126" s="10"/>
      <c r="C126" s="10"/>
      <c r="D126" s="10"/>
      <c r="E126" s="10"/>
      <c r="F126" s="4"/>
      <c r="G126" s="103"/>
    </row>
    <row r="127" spans="2:7" x14ac:dyDescent="0.2">
      <c r="B127" s="10"/>
      <c r="C127" s="10"/>
      <c r="D127" s="10"/>
      <c r="E127" s="10"/>
      <c r="F127" s="4"/>
      <c r="G127" s="103"/>
    </row>
    <row r="128" spans="2:7" x14ac:dyDescent="0.2">
      <c r="B128" s="10"/>
      <c r="C128" s="10"/>
      <c r="D128" s="10"/>
      <c r="E128" s="10"/>
      <c r="F128" s="4"/>
      <c r="G128" s="103"/>
    </row>
    <row r="129" spans="2:7" x14ac:dyDescent="0.2">
      <c r="B129" s="10"/>
      <c r="C129" s="10"/>
      <c r="D129" s="10"/>
      <c r="E129" s="10"/>
      <c r="F129" s="4"/>
      <c r="G129" s="103"/>
    </row>
    <row r="130" spans="2:7" x14ac:dyDescent="0.2">
      <c r="B130" s="10"/>
      <c r="C130" s="10"/>
      <c r="D130" s="10"/>
      <c r="E130" s="10"/>
      <c r="F130" s="4"/>
      <c r="G130" s="103"/>
    </row>
    <row r="131" spans="2:7" x14ac:dyDescent="0.2">
      <c r="B131" s="10"/>
      <c r="C131" s="10"/>
      <c r="D131" s="10"/>
      <c r="E131" s="10"/>
      <c r="F131" s="4"/>
      <c r="G131" s="103"/>
    </row>
    <row r="132" spans="2:7" x14ac:dyDescent="0.2">
      <c r="B132" s="10"/>
      <c r="C132" s="10"/>
      <c r="D132" s="10"/>
      <c r="E132" s="10"/>
      <c r="F132" s="4"/>
      <c r="G132" s="103"/>
    </row>
    <row r="133" spans="2:7" x14ac:dyDescent="0.2">
      <c r="B133" s="10"/>
      <c r="C133" s="10"/>
      <c r="D133" s="10"/>
      <c r="E133" s="10"/>
      <c r="F133" s="4"/>
      <c r="G133" s="103"/>
    </row>
    <row r="134" spans="2:7" x14ac:dyDescent="0.2">
      <c r="B134" s="10"/>
      <c r="C134" s="10"/>
      <c r="D134" s="10"/>
      <c r="E134" s="10"/>
      <c r="F134" s="4"/>
      <c r="G134" s="103"/>
    </row>
    <row r="135" spans="2:7" x14ac:dyDescent="0.2">
      <c r="B135" s="10"/>
      <c r="C135" s="10"/>
      <c r="D135" s="10"/>
      <c r="E135" s="10"/>
      <c r="F135" s="4"/>
      <c r="G135" s="103"/>
    </row>
    <row r="136" spans="2:7" x14ac:dyDescent="0.2">
      <c r="B136" s="10"/>
      <c r="C136" s="10"/>
      <c r="D136" s="10"/>
      <c r="E136" s="10"/>
      <c r="F136" s="4"/>
      <c r="G136" s="103"/>
    </row>
    <row r="137" spans="2:7" x14ac:dyDescent="0.2">
      <c r="B137" s="10"/>
      <c r="C137" s="10"/>
      <c r="D137" s="10"/>
      <c r="E137" s="10"/>
      <c r="F137" s="4"/>
      <c r="G137" s="103"/>
    </row>
    <row r="138" spans="2:7" x14ac:dyDescent="0.2">
      <c r="B138" s="10"/>
      <c r="C138" s="10"/>
      <c r="D138" s="10"/>
      <c r="E138" s="10"/>
      <c r="F138" s="4"/>
      <c r="G138" s="103"/>
    </row>
    <row r="139" spans="2:7" x14ac:dyDescent="0.2">
      <c r="B139" s="10"/>
      <c r="C139" s="10"/>
      <c r="D139" s="10"/>
      <c r="E139" s="10"/>
      <c r="F139" s="4"/>
      <c r="G139" s="103"/>
    </row>
    <row r="140" spans="2:7" x14ac:dyDescent="0.2">
      <c r="B140" s="10"/>
      <c r="C140" s="10"/>
      <c r="D140" s="10"/>
      <c r="E140" s="10"/>
      <c r="F140" s="4"/>
      <c r="G140" s="103"/>
    </row>
    <row r="141" spans="2:7" x14ac:dyDescent="0.2">
      <c r="B141" s="10"/>
      <c r="C141" s="10"/>
      <c r="D141" s="10"/>
      <c r="E141" s="10"/>
      <c r="F141" s="4"/>
      <c r="G141" s="103"/>
    </row>
    <row r="142" spans="2:7" x14ac:dyDescent="0.2">
      <c r="B142" s="10"/>
      <c r="C142" s="10"/>
      <c r="D142" s="10"/>
      <c r="E142" s="10"/>
      <c r="F142" s="4"/>
      <c r="G142" s="103"/>
    </row>
    <row r="143" spans="2:7" x14ac:dyDescent="0.2">
      <c r="B143" s="10"/>
      <c r="C143" s="10"/>
      <c r="D143" s="10"/>
      <c r="E143" s="10"/>
      <c r="F143" s="4"/>
      <c r="G143" s="103"/>
    </row>
    <row r="144" spans="2:7" x14ac:dyDescent="0.2">
      <c r="B144" s="10"/>
      <c r="C144" s="10"/>
      <c r="D144" s="10"/>
      <c r="E144" s="10"/>
      <c r="F144" s="4"/>
      <c r="G144" s="103"/>
    </row>
    <row r="145" spans="2:7" x14ac:dyDescent="0.2">
      <c r="B145" s="10"/>
      <c r="C145" s="10"/>
      <c r="D145" s="10"/>
      <c r="E145" s="10"/>
      <c r="F145" s="4"/>
      <c r="G145" s="103"/>
    </row>
    <row r="146" spans="2:7" x14ac:dyDescent="0.2">
      <c r="B146" s="10"/>
      <c r="C146" s="10"/>
      <c r="D146" s="10"/>
      <c r="E146" s="10"/>
      <c r="F146" s="82"/>
      <c r="G146" s="103"/>
    </row>
    <row r="147" spans="2:7" x14ac:dyDescent="0.2">
      <c r="B147" s="10"/>
      <c r="C147" s="10"/>
      <c r="D147" s="10"/>
      <c r="E147" s="10"/>
      <c r="F147" s="82"/>
      <c r="G147" s="103"/>
    </row>
    <row r="148" spans="2:7" x14ac:dyDescent="0.2">
      <c r="B148" s="10"/>
      <c r="C148" s="10"/>
      <c r="D148" s="10"/>
      <c r="E148" s="10"/>
      <c r="F148" s="82"/>
      <c r="G148" s="103"/>
    </row>
    <row r="149" spans="2:7" x14ac:dyDescent="0.2">
      <c r="B149" s="10"/>
      <c r="C149" s="10"/>
      <c r="D149" s="10"/>
      <c r="E149" s="10"/>
      <c r="F149" s="82"/>
      <c r="G149" s="103"/>
    </row>
    <row r="150" spans="2:7" x14ac:dyDescent="0.2">
      <c r="B150" s="10"/>
      <c r="C150" s="10"/>
      <c r="D150" s="10"/>
      <c r="E150" s="10"/>
      <c r="F150" s="82"/>
      <c r="G150" s="103"/>
    </row>
    <row r="151" spans="2:7" x14ac:dyDescent="0.2">
      <c r="B151" s="10"/>
      <c r="C151" s="10"/>
      <c r="D151" s="10"/>
      <c r="E151" s="10"/>
      <c r="F151" s="82"/>
      <c r="G151" s="103"/>
    </row>
    <row r="152" spans="2:7" x14ac:dyDescent="0.2">
      <c r="B152" s="10"/>
      <c r="C152" s="10"/>
      <c r="D152" s="10"/>
      <c r="E152" s="10"/>
      <c r="F152" s="82"/>
      <c r="G152" s="103"/>
    </row>
    <row r="153" spans="2:7" x14ac:dyDescent="0.2">
      <c r="B153" s="10"/>
      <c r="C153" s="10"/>
      <c r="D153" s="10"/>
      <c r="E153" s="10"/>
      <c r="F153" s="82"/>
      <c r="G153" s="103"/>
    </row>
    <row r="154" spans="2:7" x14ac:dyDescent="0.2">
      <c r="B154" s="10"/>
      <c r="C154" s="10"/>
      <c r="D154" s="10"/>
      <c r="E154" s="10"/>
      <c r="F154" s="82"/>
      <c r="G154" s="103"/>
    </row>
    <row r="155" spans="2:7" x14ac:dyDescent="0.2">
      <c r="B155" s="10"/>
      <c r="C155" s="10"/>
      <c r="D155" s="10"/>
      <c r="E155" s="10"/>
      <c r="F155" s="82"/>
      <c r="G155" s="103"/>
    </row>
    <row r="156" spans="2:7" x14ac:dyDescent="0.2">
      <c r="B156" s="10"/>
      <c r="C156" s="10"/>
      <c r="D156" s="10"/>
      <c r="E156" s="10"/>
      <c r="F156" s="82"/>
      <c r="G156" s="103"/>
    </row>
    <row r="157" spans="2:7" x14ac:dyDescent="0.2">
      <c r="B157" s="10"/>
      <c r="C157" s="10"/>
      <c r="D157" s="10"/>
      <c r="E157" s="10"/>
      <c r="F157" s="82"/>
      <c r="G157" s="103"/>
    </row>
    <row r="158" spans="2:7" x14ac:dyDescent="0.2">
      <c r="B158" s="10"/>
      <c r="C158" s="10"/>
      <c r="D158" s="10"/>
      <c r="E158" s="10"/>
      <c r="F158" s="82"/>
      <c r="G158" s="103"/>
    </row>
    <row r="159" spans="2:7" x14ac:dyDescent="0.2">
      <c r="B159" s="10"/>
      <c r="C159" s="10"/>
      <c r="D159" s="10"/>
      <c r="E159" s="10"/>
      <c r="F159" s="82"/>
      <c r="G159" s="103"/>
    </row>
    <row r="160" spans="2:7" x14ac:dyDescent="0.2">
      <c r="B160" s="10"/>
      <c r="C160" s="10"/>
      <c r="D160" s="10"/>
      <c r="E160" s="10"/>
      <c r="F160" s="82"/>
      <c r="G160" s="103"/>
    </row>
    <row r="161" spans="2:8" x14ac:dyDescent="0.2">
      <c r="B161" s="10"/>
      <c r="C161" s="10"/>
      <c r="D161" s="10"/>
      <c r="E161" s="10"/>
      <c r="F161" s="82"/>
      <c r="G161" s="103"/>
    </row>
    <row r="162" spans="2:8" x14ac:dyDescent="0.2">
      <c r="B162" s="10"/>
      <c r="C162" s="10"/>
      <c r="D162" s="10"/>
      <c r="E162" s="10"/>
      <c r="F162" s="82"/>
      <c r="G162" s="103"/>
    </row>
    <row r="163" spans="2:8" x14ac:dyDescent="0.2">
      <c r="B163" s="10"/>
      <c r="C163" s="10"/>
      <c r="D163" s="10"/>
      <c r="E163" s="10"/>
      <c r="F163" s="82"/>
      <c r="G163" s="103"/>
    </row>
    <row r="164" spans="2:8" x14ac:dyDescent="0.2">
      <c r="B164" s="10"/>
      <c r="C164" s="10"/>
      <c r="D164" s="10"/>
      <c r="E164" s="10"/>
      <c r="F164" s="82"/>
      <c r="G164" s="103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W73"/>
  <sheetViews>
    <sheetView topLeftCell="A19" zoomScaleNormal="100" workbookViewId="0">
      <selection activeCell="G23" sqref="G23:T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'1255'!D8</f>
        <v>9.4153699480422945E-2</v>
      </c>
      <c r="E2" s="2">
        <f>SUM(D3:D5)</f>
        <v>2.9566600261869502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'1255'!D11</f>
        <v>3.5429774331332586</v>
      </c>
      <c r="D3" s="10">
        <f>$D$2*G43</f>
        <v>1.1118691391161291E-2</v>
      </c>
      <c r="E3" s="10"/>
      <c r="F3" s="11">
        <f>SQRT(D3)</f>
        <v>0.10544520563383283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'1255'!D12</f>
        <v>0.26136884999555032</v>
      </c>
      <c r="D4" s="10">
        <f>$D$2*H44</f>
        <v>3.680654239067526E-3</v>
      </c>
      <c r="E4" s="10"/>
      <c r="F4" s="11">
        <f>SQRT(D4)</f>
        <v>6.0668395718590798E-2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'1255'!D13</f>
        <v>6.2289225100472434</v>
      </c>
      <c r="D5" s="10">
        <f>$D$2*I45</f>
        <v>2.9418606805567213</v>
      </c>
      <c r="E5" s="10"/>
      <c r="F5" s="11">
        <f>SQRT(D5)</f>
        <v>1.7151853195957343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3.5429774331332587E-4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2.6136884999555033E-5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6.2289225100472438E-4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'1255'!B18</f>
        <v>0</v>
      </c>
      <c r="B22" s="4">
        <f>Q_LA($C$3,$C$4,$C$5,A22,$I$7)</f>
        <v>9.8190837503242339E-4</v>
      </c>
      <c r="C22" s="35">
        <f>Q_Lumax($C$3,$C$4,$C$5,A22,$I$8)</f>
        <v>-1.2261136936462889E-2</v>
      </c>
      <c r="D22" s="36">
        <f>Q_Llameda($C$3,$C$4,$C$5,A22,$I$9)</f>
        <v>-5.1448372580524592E-4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'1255'!B19</f>
        <v>8.25</v>
      </c>
      <c r="B23" s="4">
        <f t="shared" ref="B23:B35" si="0">Q_LA($C$3,$C$4,$C$5,A23,$I$7)</f>
        <v>4.3328970665142685E-2</v>
      </c>
      <c r="C23" s="35">
        <f t="shared" ref="C23:C35" si="1">Q_Lumax($C$3,$C$4,$C$5,A23,$I$8)</f>
        <v>1.6255557013810784</v>
      </c>
      <c r="D23" s="36">
        <f t="shared" ref="D23:D35" si="2">Q_Llameda($C$3,$C$4,$C$5,A23,$I$9)</f>
        <v>-0.21020523473479924</v>
      </c>
      <c r="E23" s="37">
        <v>2</v>
      </c>
      <c r="F23" s="40">
        <v>1</v>
      </c>
      <c r="G23" s="42">
        <v>9.8190837503242339E-4</v>
      </c>
      <c r="H23" s="42">
        <v>4.3328970665142685E-2</v>
      </c>
      <c r="I23" s="42">
        <v>0.50183202928867909</v>
      </c>
      <c r="J23" s="42">
        <v>0.62200076250009406</v>
      </c>
      <c r="K23" s="42">
        <v>0.77907790481436345</v>
      </c>
      <c r="L23" s="42">
        <v>0.8383083717442531</v>
      </c>
      <c r="M23" s="42">
        <v>0.99319012418541974</v>
      </c>
      <c r="N23" s="42">
        <v>0.99991696734440283</v>
      </c>
      <c r="O23" s="42">
        <v>0.99999873680564</v>
      </c>
      <c r="P23" s="42">
        <v>0.99999974506879485</v>
      </c>
      <c r="Q23" s="42">
        <v>0.99999998932066936</v>
      </c>
      <c r="R23" s="42">
        <v>0.99999999739153766</v>
      </c>
      <c r="S23" s="42">
        <v>0.9999999998733391</v>
      </c>
      <c r="T23" s="42">
        <v>0.99999999999868261</v>
      </c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'1255'!B20</f>
        <v>20.916666666744277</v>
      </c>
      <c r="B24" s="4">
        <f t="shared" si="0"/>
        <v>0.50183202928867909</v>
      </c>
      <c r="C24" s="35">
        <f t="shared" si="1"/>
        <v>4.9461573771810938</v>
      </c>
      <c r="D24" s="36">
        <f t="shared" si="2"/>
        <v>-8.8032841517319993E-2</v>
      </c>
      <c r="E24" s="37">
        <v>3</v>
      </c>
      <c r="F24" s="43">
        <v>2</v>
      </c>
      <c r="G24" s="42">
        <v>-1.2261136936462889E-2</v>
      </c>
      <c r="H24" s="42">
        <v>1.6255557013810784</v>
      </c>
      <c r="I24" s="42">
        <v>4.9461573771810938</v>
      </c>
      <c r="J24" s="42">
        <v>3.9050389505369116</v>
      </c>
      <c r="K24" s="42">
        <v>2.3957098155985626</v>
      </c>
      <c r="L24" s="42">
        <v>1.7875850124833648</v>
      </c>
      <c r="M24" s="42">
        <v>8.2220225782910689E-2</v>
      </c>
      <c r="N24" s="42">
        <v>1.0440582241746565E-3</v>
      </c>
      <c r="O24" s="42">
        <v>1.6170086994628897E-5</v>
      </c>
      <c r="P24" s="42">
        <v>3.2783942325961321E-6</v>
      </c>
      <c r="Q24" s="42">
        <v>1.3827194747275109E-7</v>
      </c>
      <c r="R24" s="42">
        <v>3.3845873601096117E-8</v>
      </c>
      <c r="S24" s="42">
        <v>1.6481173390091983E-9</v>
      </c>
      <c r="T24" s="42">
        <v>1.6990900402156683E-11</v>
      </c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'1255'!B21</f>
        <v>23.000000000058208</v>
      </c>
      <c r="B25" s="4">
        <f t="shared" si="0"/>
        <v>0.62200076250009406</v>
      </c>
      <c r="C25" s="35">
        <f t="shared" si="1"/>
        <v>3.9050389505369116</v>
      </c>
      <c r="D25" s="36">
        <f t="shared" si="2"/>
        <v>-6.0870792523987742E-2</v>
      </c>
      <c r="E25" s="37">
        <v>4</v>
      </c>
      <c r="F25" s="43">
        <v>3</v>
      </c>
      <c r="G25" s="42">
        <v>-5.1448372580524592E-4</v>
      </c>
      <c r="H25" s="42">
        <v>-0.21020523473479924</v>
      </c>
      <c r="I25" s="42">
        <v>-8.8032841517319993E-2</v>
      </c>
      <c r="J25" s="42">
        <v>-6.0870792523987742E-2</v>
      </c>
      <c r="K25" s="42">
        <v>-3.0645446853788418E-2</v>
      </c>
      <c r="L25" s="42">
        <v>-2.0828710971281087E-2</v>
      </c>
      <c r="M25" s="42">
        <v>-5.2518680514684977E-4</v>
      </c>
      <c r="N25" s="42">
        <v>-4.199857161063481E-6</v>
      </c>
      <c r="O25" s="42">
        <v>-4.847327178818404E-8</v>
      </c>
      <c r="P25" s="42">
        <v>-8.9638836033657592E-9</v>
      </c>
      <c r="Q25" s="42">
        <v>-3.2296502603393688E-10</v>
      </c>
      <c r="R25" s="42">
        <v>-7.4146496043111339E-11</v>
      </c>
      <c r="S25" s="42">
        <v>-3.5647353866880453E-12</v>
      </c>
      <c r="T25" s="42">
        <v>0</v>
      </c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'1255'!B22</f>
        <v>26.666666666802485</v>
      </c>
      <c r="B26" s="4">
        <f t="shared" si="0"/>
        <v>0.77907790481436345</v>
      </c>
      <c r="C26" s="35">
        <f t="shared" si="1"/>
        <v>2.3957098155985626</v>
      </c>
      <c r="D26" s="36">
        <f t="shared" si="2"/>
        <v>-3.0645446853788418E-2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'1255'!B23</f>
        <v>28.666666666686069</v>
      </c>
      <c r="B27" s="4">
        <f t="shared" si="0"/>
        <v>0.8383083717442531</v>
      </c>
      <c r="C27" s="35">
        <f t="shared" si="1"/>
        <v>1.7875850124833648</v>
      </c>
      <c r="D27" s="36">
        <f t="shared" si="2"/>
        <v>-2.0828710971281087E-2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'1255'!B24</f>
        <v>47.166666666744277</v>
      </c>
      <c r="B28" s="4">
        <f t="shared" si="0"/>
        <v>0.99319012418541974</v>
      </c>
      <c r="C28" s="35">
        <f t="shared" si="1"/>
        <v>8.2220225782910689E-2</v>
      </c>
      <c r="D28" s="36">
        <f t="shared" si="2"/>
        <v>-5.2518680514684977E-4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'1255'!B25</f>
        <v>71.25</v>
      </c>
      <c r="B29" s="4">
        <f t="shared" si="0"/>
        <v>0.99991696734440283</v>
      </c>
      <c r="C29" s="35">
        <f t="shared" si="1"/>
        <v>1.0440582241746565E-3</v>
      </c>
      <c r="D29" s="36">
        <f t="shared" si="2"/>
        <v>-4.199857161063481E-6</v>
      </c>
      <c r="E29" s="37">
        <v>8</v>
      </c>
    </row>
    <row r="30" spans="1:49" ht="13.5" thickBot="1" x14ac:dyDescent="0.25">
      <c r="A30" s="34">
        <f>'1255'!B26</f>
        <v>93.500000000058208</v>
      </c>
      <c r="B30" s="4">
        <f t="shared" si="0"/>
        <v>0.99999873680564</v>
      </c>
      <c r="C30" s="35">
        <f t="shared" si="1"/>
        <v>1.6170086994628897E-5</v>
      </c>
      <c r="D30" s="36">
        <f t="shared" si="2"/>
        <v>-4.847327178818404E-8</v>
      </c>
      <c r="E30" s="37">
        <v>9</v>
      </c>
      <c r="J30" s="48"/>
      <c r="K30" s="49"/>
      <c r="L30" s="49"/>
    </row>
    <row r="31" spans="1:49" ht="13.5" thickBot="1" x14ac:dyDescent="0.25">
      <c r="A31" s="34">
        <f>'1255'!B27</f>
        <v>101.91666666674428</v>
      </c>
      <c r="B31" s="4">
        <f t="shared" si="0"/>
        <v>0.99999974506879485</v>
      </c>
      <c r="C31" s="35">
        <f t="shared" si="1"/>
        <v>3.2783942325961321E-6</v>
      </c>
      <c r="D31" s="36">
        <f t="shared" si="2"/>
        <v>-8.9638836033657592E-9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'1255'!B28</f>
        <v>118.5</v>
      </c>
      <c r="B32" s="4">
        <f t="shared" si="0"/>
        <v>0.99999998932066936</v>
      </c>
      <c r="C32" s="35">
        <f t="shared" si="1"/>
        <v>1.3827194747275109E-7</v>
      </c>
      <c r="D32" s="36">
        <f t="shared" si="2"/>
        <v>-3.2296502603393688E-10</v>
      </c>
      <c r="E32" s="37">
        <v>11</v>
      </c>
      <c r="F32" s="50"/>
      <c r="G32" s="153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'1255'!B29</f>
        <v>125.83333333331393</v>
      </c>
      <c r="B33" s="4">
        <f t="shared" si="0"/>
        <v>0.99999999739153766</v>
      </c>
      <c r="C33" s="35">
        <f t="shared" si="1"/>
        <v>3.3845873601096117E-8</v>
      </c>
      <c r="D33" s="36">
        <f t="shared" si="2"/>
        <v>-7.4146496043111339E-11</v>
      </c>
      <c r="E33" s="37">
        <v>12</v>
      </c>
      <c r="F33" s="52">
        <v>1</v>
      </c>
      <c r="G33" s="53">
        <f t="array" ref="G33:I35">MMULT(G23:T25,B22:D35)</f>
        <v>9.9365795072017544</v>
      </c>
      <c r="H33" s="54">
        <v>8.4292149894662565</v>
      </c>
      <c r="I33" s="55">
        <v>-0.13300980149319747</v>
      </c>
      <c r="J33" s="48"/>
      <c r="K33" s="48"/>
      <c r="L33" s="48"/>
    </row>
    <row r="34" spans="1:12" ht="13.5" thickBot="1" x14ac:dyDescent="0.25">
      <c r="A34" s="34">
        <f>'1255'!B30</f>
        <v>141.50000000005821</v>
      </c>
      <c r="B34" s="4">
        <f t="shared" si="0"/>
        <v>0.9999999998733391</v>
      </c>
      <c r="C34" s="35">
        <f t="shared" si="1"/>
        <v>1.6481173390091983E-9</v>
      </c>
      <c r="D34" s="36">
        <f t="shared" si="2"/>
        <v>-3.5647353866880453E-12</v>
      </c>
      <c r="E34" s="37">
        <v>13</v>
      </c>
      <c r="F34" s="62">
        <v>2</v>
      </c>
      <c r="G34" s="56">
        <v>8.4292149894662565</v>
      </c>
      <c r="H34" s="57">
        <v>51.298030632092946</v>
      </c>
      <c r="I34" s="58">
        <v>-1.1255149886452571</v>
      </c>
      <c r="J34" s="48"/>
      <c r="K34" s="48"/>
      <c r="L34" s="48"/>
    </row>
    <row r="35" spans="1:12" ht="13.5" thickBot="1" x14ac:dyDescent="0.25">
      <c r="A35" s="34">
        <f>'1255'!B31</f>
        <v>165.25000000011642</v>
      </c>
      <c r="B35" s="4">
        <f t="shared" si="0"/>
        <v>0.99999999999868261</v>
      </c>
      <c r="C35" s="35">
        <f t="shared" si="1"/>
        <v>1.6990900402156683E-11</v>
      </c>
      <c r="D35" s="36">
        <f t="shared" si="2"/>
        <v>0</v>
      </c>
      <c r="E35" s="37">
        <v>14</v>
      </c>
      <c r="F35" s="63">
        <v>3</v>
      </c>
      <c r="G35" s="59">
        <v>-0.13300980149319747</v>
      </c>
      <c r="H35" s="60">
        <v>-1.1255149886452571</v>
      </c>
      <c r="I35" s="61">
        <v>5.7014794423943173E-2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0.1180908605027587</v>
      </c>
      <c r="H43" s="73">
        <v>-2.3567807731087631E-2</v>
      </c>
      <c r="I43" s="74">
        <v>-0.18975213445078409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-2.3567807731087628E-2</v>
      </c>
      <c r="H44" s="76">
        <v>3.9091976835523408E-2</v>
      </c>
      <c r="I44" s="77">
        <v>0.71672373546351553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-0.18975213445078409</v>
      </c>
      <c r="H45" s="76">
        <v>0.71672373546351553</v>
      </c>
      <c r="I45" s="78">
        <v>31.245301000290617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topLeftCell="B1"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DEVSQ(D18:D85)</f>
        <v>5.6824323337406577</v>
      </c>
      <c r="D6" s="126">
        <f>SUM(E18:E85)</f>
        <v>0.13078613409547535</v>
      </c>
      <c r="E6" s="111">
        <f>$C$6-$D$6</f>
        <v>5.551646199645182</v>
      </c>
      <c r="F6" s="112">
        <f>$E$6/$C$6</f>
        <v>0.97698412820177283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0.98842507465248619</v>
      </c>
      <c r="D8" s="2">
        <f>D6/(COUNT(E18:E50)-COUNT(D11:D13)-1)</f>
        <v>4.3595378031825116E-2</v>
      </c>
      <c r="E8" s="2">
        <f>(E6/1)</f>
        <v>5.551646199645182</v>
      </c>
      <c r="F8" s="2">
        <f>E8/D8</f>
        <v>127.34483448205032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2.2540927756511038</v>
      </c>
      <c r="E11" s="163">
        <f>ERROS_1257!F3</f>
        <v>0.14910109938953608</v>
      </c>
      <c r="F11" s="2">
        <f>(5.5-D11)/5.5</f>
        <v>0.5901649498816175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1">
        <v>0.13074017576468408</v>
      </c>
      <c r="E12" s="163">
        <f>ERROS_1257!F4</f>
        <v>3.1557745349547604E-2</v>
      </c>
      <c r="F12" s="2">
        <f>('1239'!$D12-D12)/'1239'!$D12</f>
        <v>0.62099738811862615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7.8185661732540961</v>
      </c>
      <c r="E13" s="163">
        <f>ERROS_1257!F5</f>
        <v>2.9681466683303772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6">
        <v>0</v>
      </c>
      <c r="C18" s="144">
        <v>0.52500000000000002</v>
      </c>
      <c r="D18" s="132">
        <f>$C$18+$D$11*EXP(-EXP(($D$12*EXP(1))/$D$11*($D$13-B18)+1))</f>
        <v>0.52520098078900701</v>
      </c>
      <c r="E18" s="133">
        <f t="shared" ref="E18:E24" si="0">(C18-D18)^2</f>
        <v>4.0393277549871477E-8</v>
      </c>
      <c r="F18" s="94">
        <v>0</v>
      </c>
      <c r="G18" s="94">
        <f>$C$18+$D$11*EXP(-EXP(($D$12*EXP(1))/$D$11*($D$13-F18)+1))</f>
        <v>0.52520098078900701</v>
      </c>
      <c r="H18" s="95"/>
      <c r="I18" s="95"/>
      <c r="K18" s="4"/>
      <c r="L18" s="4"/>
      <c r="M18" s="4"/>
      <c r="N18" s="122"/>
      <c r="O18" s="122"/>
    </row>
    <row r="19" spans="2:15" ht="13.5" customHeight="1" x14ac:dyDescent="0.2">
      <c r="B19" s="136">
        <v>8.25</v>
      </c>
      <c r="C19" s="144">
        <v>0.7400000000000001</v>
      </c>
      <c r="D19" s="132">
        <f t="shared" ref="D19:D24" si="1">$C$18+$D$11*EXP(-EXP(($D$12*EXP(1))/$D$11*($D$13-B19)+1))</f>
        <v>0.70285597364552188</v>
      </c>
      <c r="E19" s="133">
        <f t="shared" si="0"/>
        <v>1.3796786938221727E-3</v>
      </c>
      <c r="F19" s="94">
        <v>1</v>
      </c>
      <c r="G19" s="94">
        <f t="shared" ref="G19:G53" si="2">$C$18+$D$11*EXP(-EXP(($D$12*EXP(1))/$D$11*($D$13-F19)+1))</f>
        <v>0.52578320089807229</v>
      </c>
      <c r="H19" s="95"/>
      <c r="I19" s="95"/>
      <c r="J19" s="95"/>
      <c r="K19" s="150"/>
      <c r="L19" s="150"/>
      <c r="M19" s="150"/>
      <c r="N19" s="4"/>
    </row>
    <row r="20" spans="2:15" x14ac:dyDescent="0.2">
      <c r="B20" s="136">
        <v>23.000000000058208</v>
      </c>
      <c r="C20" s="130">
        <v>2.08</v>
      </c>
      <c r="D20" s="132">
        <f t="shared" si="1"/>
        <v>2.2836697846251801</v>
      </c>
      <c r="E20" s="133">
        <f t="shared" si="0"/>
        <v>4.1481381169267223E-2</v>
      </c>
      <c r="F20" s="94">
        <v>2</v>
      </c>
      <c r="G20" s="94">
        <f t="shared" ref="G20:G26" si="3">$C$18+$D$11*EXP(-EXP(($D$12*EXP(1))/$D$11*($D$13-F20)+1))</f>
        <v>0.5275028095019384</v>
      </c>
      <c r="H20" s="95"/>
      <c r="I20" s="95"/>
      <c r="J20" s="95"/>
      <c r="K20" s="147"/>
      <c r="L20" s="147"/>
      <c r="M20" s="147"/>
      <c r="N20" s="122"/>
    </row>
    <row r="21" spans="2:15" x14ac:dyDescent="0.2">
      <c r="B21" s="136">
        <v>26.666666666802485</v>
      </c>
      <c r="C21" s="130">
        <v>2.7133333333333334</v>
      </c>
      <c r="D21" s="132">
        <f t="shared" si="1"/>
        <v>2.4861327577981074</v>
      </c>
      <c r="E21" s="133">
        <f t="shared" si="0"/>
        <v>5.162010152353793E-2</v>
      </c>
      <c r="F21" s="94">
        <v>3</v>
      </c>
      <c r="G21" s="94">
        <f t="shared" si="3"/>
        <v>0.53175128661993853</v>
      </c>
      <c r="H21" s="95"/>
      <c r="I21" s="95"/>
      <c r="J21" s="95"/>
      <c r="K21" s="147"/>
      <c r="L21" s="124"/>
      <c r="M21" s="124"/>
      <c r="N21" s="122"/>
    </row>
    <row r="22" spans="2:15" x14ac:dyDescent="0.2">
      <c r="B22" s="138">
        <v>28.666666666686069</v>
      </c>
      <c r="C22" s="130">
        <v>2.6200000000000006</v>
      </c>
      <c r="D22" s="132">
        <f t="shared" si="1"/>
        <v>2.5613841116298617</v>
      </c>
      <c r="E22" s="133">
        <f t="shared" si="0"/>
        <v>3.4358223694205812E-3</v>
      </c>
      <c r="F22" s="94">
        <v>4</v>
      </c>
      <c r="G22" s="94">
        <f t="shared" si="3"/>
        <v>0.54075739224310504</v>
      </c>
      <c r="H22" s="95"/>
      <c r="I22" s="95"/>
      <c r="J22" s="95"/>
      <c r="K22" s="148"/>
      <c r="L22" s="124"/>
      <c r="M22" s="124"/>
      <c r="N22" s="4"/>
    </row>
    <row r="23" spans="2:15" x14ac:dyDescent="0.2">
      <c r="B23" s="138">
        <v>47.166666666744277</v>
      </c>
      <c r="C23" s="130">
        <v>2.6</v>
      </c>
      <c r="D23" s="132">
        <f t="shared" si="1"/>
        <v>2.7667386700157501</v>
      </c>
      <c r="E23" s="133">
        <f t="shared" si="0"/>
        <v>2.7801784078621182E-2</v>
      </c>
      <c r="F23" s="94">
        <v>5</v>
      </c>
      <c r="G23" s="94">
        <f t="shared" si="3"/>
        <v>0.55750051807292389</v>
      </c>
      <c r="H23" s="95"/>
      <c r="I23" s="95"/>
      <c r="J23" s="95"/>
      <c r="K23" s="148"/>
      <c r="L23" s="124"/>
      <c r="M23" s="124"/>
      <c r="N23" s="4"/>
    </row>
    <row r="24" spans="2:15" x14ac:dyDescent="0.2">
      <c r="B24" s="138">
        <v>71.25</v>
      </c>
      <c r="C24" s="130">
        <v>2.85</v>
      </c>
      <c r="D24" s="132">
        <f t="shared" si="1"/>
        <v>2.7788148479840866</v>
      </c>
      <c r="E24" s="133">
        <f t="shared" si="0"/>
        <v>5.0673258675287087E-3</v>
      </c>
      <c r="F24" s="94">
        <v>6</v>
      </c>
      <c r="G24" s="94">
        <f t="shared" si="3"/>
        <v>0.58531648405120884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38"/>
      <c r="C25" s="130"/>
      <c r="D25" s="132"/>
      <c r="E25" s="133"/>
      <c r="F25" s="94">
        <v>7</v>
      </c>
      <c r="G25" s="94">
        <f t="shared" si="3"/>
        <v>0.62728474252467081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38"/>
      <c r="C26" s="130"/>
      <c r="D26" s="132"/>
      <c r="E26" s="133"/>
      <c r="F26" s="94">
        <v>8</v>
      </c>
      <c r="G26" s="94">
        <f t="shared" si="3"/>
        <v>0.6855936558828627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38"/>
      <c r="C27" s="130"/>
      <c r="D27" s="132"/>
      <c r="E27" s="133"/>
      <c r="F27" s="94">
        <v>9</v>
      </c>
      <c r="G27" s="94">
        <f t="shared" si="2"/>
        <v>0.76108521409471264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38"/>
      <c r="C28" s="130"/>
      <c r="D28" s="132"/>
      <c r="E28" s="133"/>
      <c r="F28" s="94">
        <v>10</v>
      </c>
      <c r="G28" s="94">
        <f t="shared" si="2"/>
        <v>0.85309560492525938</v>
      </c>
      <c r="H28" s="95"/>
      <c r="I28" s="95"/>
      <c r="J28" s="122"/>
      <c r="K28" s="122"/>
      <c r="L28" s="122"/>
    </row>
    <row r="29" spans="2:15" x14ac:dyDescent="0.2">
      <c r="B29" s="138"/>
      <c r="C29" s="130"/>
      <c r="D29" s="132"/>
      <c r="E29" s="133"/>
      <c r="F29" s="94">
        <v>12</v>
      </c>
      <c r="G29" s="94">
        <f t="shared" si="2"/>
        <v>1.0775344451458206</v>
      </c>
      <c r="H29" s="95"/>
      <c r="I29" s="95"/>
      <c r="J29" s="122"/>
      <c r="K29" s="122"/>
      <c r="L29" s="122"/>
    </row>
    <row r="30" spans="2:15" x14ac:dyDescent="0.2">
      <c r="B30" s="138"/>
      <c r="C30" s="130"/>
      <c r="D30" s="132"/>
      <c r="E30" s="133"/>
      <c r="F30" s="94">
        <v>14</v>
      </c>
      <c r="G30" s="94">
        <f t="shared" si="2"/>
        <v>1.3331640272894885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16</v>
      </c>
      <c r="G31" s="94">
        <f t="shared" si="2"/>
        <v>1.5915408902639991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18</v>
      </c>
      <c r="G32" s="94">
        <f t="shared" si="2"/>
        <v>1.8307866577476513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20</v>
      </c>
      <c r="G33" s="94">
        <f t="shared" si="2"/>
        <v>2.038546656858701</v>
      </c>
      <c r="H33" s="95"/>
      <c r="I33" s="95"/>
      <c r="J33" s="122"/>
      <c r="K33" s="122"/>
    </row>
    <row r="34" spans="2:11" x14ac:dyDescent="0.2">
      <c r="B34" s="95"/>
      <c r="C34" s="130"/>
      <c r="D34" s="132"/>
      <c r="E34" s="133"/>
      <c r="F34" s="94">
        <v>22</v>
      </c>
      <c r="G34" s="94">
        <f t="shared" si="2"/>
        <v>2.2106879130870061</v>
      </c>
      <c r="H34" s="95"/>
      <c r="I34" s="95"/>
      <c r="J34" s="122"/>
      <c r="K34" s="122"/>
    </row>
    <row r="35" spans="2:11" x14ac:dyDescent="0.2">
      <c r="B35" s="95"/>
      <c r="C35" s="121"/>
      <c r="D35" s="132"/>
      <c r="E35" s="133"/>
      <c r="F35" s="94">
        <v>24</v>
      </c>
      <c r="G35" s="94">
        <f t="shared" si="2"/>
        <v>2.3485031241286225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26</v>
      </c>
      <c r="G36" s="94">
        <f t="shared" si="2"/>
        <v>2.4561035820403472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28</v>
      </c>
      <c r="G37" s="94">
        <f t="shared" si="2"/>
        <v>2.5385882853572554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30</v>
      </c>
      <c r="G38" s="94">
        <f t="shared" si="2"/>
        <v>2.60097934682276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32</v>
      </c>
      <c r="G39" s="94">
        <f t="shared" si="2"/>
        <v>2.6477130108339235</v>
      </c>
      <c r="H39" s="95"/>
      <c r="I39" s="122"/>
      <c r="J39" s="122"/>
      <c r="K39" s="122"/>
    </row>
    <row r="40" spans="2:11" x14ac:dyDescent="0.2">
      <c r="B40" s="95"/>
      <c r="C40" s="121"/>
      <c r="D40" s="94"/>
      <c r="E40" s="94"/>
      <c r="F40" s="94">
        <v>34</v>
      </c>
      <c r="G40" s="94">
        <f t="shared" si="2"/>
        <v>2.6824699510230303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36</v>
      </c>
      <c r="G41" s="94">
        <f t="shared" si="2"/>
        <v>2.7081853938541225</v>
      </c>
      <c r="H41" s="95"/>
      <c r="I41" s="122"/>
      <c r="J41" s="122"/>
      <c r="K41" s="122"/>
    </row>
    <row r="42" spans="2:11" x14ac:dyDescent="0.2">
      <c r="B42" s="95"/>
      <c r="C42" s="94"/>
      <c r="D42" s="94"/>
      <c r="E42" s="94"/>
      <c r="F42" s="94">
        <v>38</v>
      </c>
      <c r="G42" s="94">
        <f t="shared" si="2"/>
        <v>2.7271392625350583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40</v>
      </c>
      <c r="G43" s="94">
        <f t="shared" si="2"/>
        <v>2.7410707913354009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5"/>
      <c r="F44" s="94">
        <v>42</v>
      </c>
      <c r="G44" s="94">
        <f t="shared" si="2"/>
        <v>2.7512901105446308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44</v>
      </c>
      <c r="G45" s="94">
        <f t="shared" si="2"/>
        <v>2.7587753337000898</v>
      </c>
      <c r="H45" s="146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46</v>
      </c>
      <c r="G46" s="94">
        <f t="shared" si="2"/>
        <v>2.764252050759199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48</v>
      </c>
      <c r="G47" s="94">
        <f t="shared" si="2"/>
        <v>2.7682560590607719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50</v>
      </c>
      <c r="G48" s="94">
        <f t="shared" si="2"/>
        <v>2.771181699364007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52</v>
      </c>
      <c r="G49" s="94">
        <f t="shared" si="2"/>
        <v>2.7733185070872484</v>
      </c>
      <c r="H49" s="95"/>
      <c r="I49" s="122"/>
      <c r="J49" s="122"/>
      <c r="K49" s="122"/>
    </row>
    <row r="50" spans="2:11" x14ac:dyDescent="0.2">
      <c r="B50" s="104"/>
      <c r="C50" s="94"/>
      <c r="D50" s="94"/>
      <c r="E50" s="95"/>
      <c r="F50" s="94">
        <v>54</v>
      </c>
      <c r="G50" s="94">
        <f t="shared" si="2"/>
        <v>2.7748786974200801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56</v>
      </c>
      <c r="G51" s="94">
        <f t="shared" si="2"/>
        <v>2.7760176172217039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58</v>
      </c>
      <c r="G52" s="94">
        <f t="shared" si="2"/>
        <v>2.7768488798321891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60</v>
      </c>
      <c r="G53" s="94">
        <f t="shared" si="2"/>
        <v>2.7774555210942253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62</v>
      </c>
      <c r="G54" s="94">
        <f t="shared" ref="G54:G64" si="4">$C$18+$D$11*EXP(-EXP(($D$12*EXP(1))/$D$11*($D$13-F54)+1))</f>
        <v>2.7778981993038596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64</v>
      </c>
      <c r="G55" s="94">
        <f t="shared" si="4"/>
        <v>2.7782212100596286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66</v>
      </c>
      <c r="G56" s="94">
        <f t="shared" si="4"/>
        <v>2.7784568917601176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68</v>
      </c>
      <c r="G57" s="94">
        <f t="shared" si="4"/>
        <v>2.7786288488870499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70</v>
      </c>
      <c r="G58" s="94">
        <f t="shared" si="4"/>
        <v>2.7787543084799426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72</v>
      </c>
      <c r="G59" s="94">
        <f t="shared" si="4"/>
        <v>2.77884584192687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74</v>
      </c>
      <c r="G60" s="94">
        <f t="shared" si="4"/>
        <v>2.7789126224944667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76</v>
      </c>
      <c r="G61" s="94">
        <f t="shared" si="4"/>
        <v>2.7789613435030005</v>
      </c>
      <c r="H61" s="4"/>
      <c r="I61" s="122"/>
      <c r="J61" s="122"/>
      <c r="K61" s="122"/>
    </row>
    <row r="62" spans="2:11" x14ac:dyDescent="0.2">
      <c r="B62" s="122"/>
      <c r="C62" s="94"/>
      <c r="D62" s="94"/>
      <c r="E62" s="95"/>
      <c r="F62" s="94">
        <v>78</v>
      </c>
      <c r="G62" s="94">
        <f t="shared" si="4"/>
        <v>2.7789968885770988</v>
      </c>
      <c r="H62" s="122"/>
      <c r="I62" s="122"/>
      <c r="J62" s="122"/>
    </row>
    <row r="63" spans="2:11" x14ac:dyDescent="0.2">
      <c r="B63" s="122"/>
      <c r="C63" s="94"/>
      <c r="D63" s="94"/>
      <c r="E63" s="95"/>
      <c r="F63" s="94">
        <v>80</v>
      </c>
      <c r="G63" s="94">
        <f t="shared" si="4"/>
        <v>2.7790228208380126</v>
      </c>
      <c r="H63" s="122"/>
      <c r="I63" s="122"/>
      <c r="J63" s="122"/>
    </row>
    <row r="64" spans="2:11" x14ac:dyDescent="0.2">
      <c r="B64" s="122"/>
      <c r="C64" s="94"/>
      <c r="D64" s="94"/>
      <c r="E64" s="95"/>
      <c r="F64" s="94">
        <v>82</v>
      </c>
      <c r="G64" s="94">
        <f t="shared" si="4"/>
        <v>2.7790417399060661</v>
      </c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5"/>
      <c r="G66" s="4"/>
      <c r="H66" s="122"/>
      <c r="I66" s="122"/>
      <c r="J66" s="122"/>
    </row>
    <row r="67" spans="2:12" x14ac:dyDescent="0.2">
      <c r="B67" s="122"/>
      <c r="C67" s="94"/>
      <c r="D67" s="94"/>
      <c r="E67" s="95"/>
      <c r="F67" s="95"/>
      <c r="G67" s="4"/>
      <c r="H67" s="122"/>
      <c r="I67" s="122"/>
      <c r="J67" s="122"/>
    </row>
    <row r="68" spans="2:12" x14ac:dyDescent="0.2">
      <c r="B68" s="122"/>
      <c r="C68" s="94"/>
      <c r="D68" s="94"/>
      <c r="E68" s="95"/>
      <c r="F68" s="95"/>
      <c r="G68" s="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5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5"/>
      <c r="G70" s="103"/>
      <c r="I70" s="122"/>
      <c r="J70" s="122"/>
      <c r="L70" s="2"/>
    </row>
    <row r="71" spans="2:12" s="4" customFormat="1" x14ac:dyDescent="0.2">
      <c r="B71" s="82"/>
      <c r="C71" s="94"/>
      <c r="D71" s="94"/>
      <c r="E71" s="95"/>
      <c r="F71" s="95"/>
      <c r="G71" s="103"/>
      <c r="I71" s="122"/>
      <c r="J71" s="122"/>
    </row>
    <row r="72" spans="2:12" s="4" customFormat="1" x14ac:dyDescent="0.2">
      <c r="B72" s="82"/>
      <c r="C72" s="94"/>
      <c r="D72" s="94"/>
      <c r="E72" s="95"/>
      <c r="F72" s="95"/>
      <c r="G72" s="103"/>
    </row>
    <row r="73" spans="2:12" s="4" customFormat="1" x14ac:dyDescent="0.2">
      <c r="B73" s="82"/>
      <c r="C73" s="94"/>
      <c r="D73" s="94"/>
      <c r="E73" s="95"/>
      <c r="F73" s="95"/>
      <c r="G73" s="103"/>
    </row>
    <row r="74" spans="2:12" s="4" customFormat="1" x14ac:dyDescent="0.2">
      <c r="B74" s="82"/>
      <c r="C74" s="94"/>
      <c r="D74" s="94"/>
      <c r="E74" s="95"/>
      <c r="F74" s="95"/>
      <c r="G74" s="103"/>
    </row>
    <row r="75" spans="2:12" s="4" customFormat="1" x14ac:dyDescent="0.2">
      <c r="B75" s="82"/>
      <c r="C75" s="94"/>
      <c r="D75" s="94"/>
      <c r="E75" s="95"/>
      <c r="F75" s="95"/>
      <c r="G75" s="103"/>
    </row>
    <row r="76" spans="2:12" s="4" customFormat="1" x14ac:dyDescent="0.2">
      <c r="B76" s="82"/>
      <c r="C76" s="94"/>
      <c r="D76" s="94"/>
      <c r="E76" s="95"/>
      <c r="F76" s="95"/>
      <c r="G76" s="103"/>
    </row>
    <row r="77" spans="2:12" s="4" customFormat="1" x14ac:dyDescent="0.2">
      <c r="B77" s="82"/>
      <c r="C77" s="94"/>
      <c r="D77" s="94"/>
      <c r="E77" s="95"/>
      <c r="F77" s="95"/>
      <c r="G77" s="103"/>
    </row>
    <row r="78" spans="2:12" s="4" customFormat="1" x14ac:dyDescent="0.2">
      <c r="B78" s="82"/>
      <c r="C78" s="94"/>
      <c r="D78" s="94"/>
      <c r="E78" s="95"/>
      <c r="F78" s="95"/>
      <c r="G78" s="103"/>
    </row>
    <row r="79" spans="2:12" s="4" customFormat="1" x14ac:dyDescent="0.2">
      <c r="B79" s="82"/>
      <c r="C79" s="94"/>
      <c r="D79" s="94"/>
      <c r="E79" s="95"/>
      <c r="F79" s="95"/>
      <c r="G79" s="103"/>
    </row>
    <row r="80" spans="2:12" s="4" customFormat="1" x14ac:dyDescent="0.2">
      <c r="B80" s="82"/>
      <c r="C80" s="94"/>
      <c r="D80" s="94"/>
      <c r="E80" s="95"/>
      <c r="F80" s="95"/>
      <c r="G80" s="103"/>
    </row>
    <row r="81" spans="2:7" s="4" customFormat="1" ht="13.5" customHeight="1" x14ac:dyDescent="0.2">
      <c r="B81" s="82"/>
      <c r="C81" s="94"/>
      <c r="D81" s="94"/>
      <c r="E81" s="95"/>
      <c r="F81" s="95"/>
      <c r="G81" s="103"/>
    </row>
    <row r="82" spans="2:7" s="4" customFormat="1" x14ac:dyDescent="0.2">
      <c r="B82" s="82"/>
      <c r="C82" s="94"/>
      <c r="D82" s="94"/>
      <c r="E82" s="95"/>
      <c r="F82" s="95"/>
      <c r="G82" s="103"/>
    </row>
    <row r="83" spans="2:7" s="4" customFormat="1" x14ac:dyDescent="0.2">
      <c r="B83" s="10"/>
      <c r="C83" s="94"/>
      <c r="D83" s="94"/>
      <c r="E83" s="95"/>
      <c r="F83" s="95"/>
      <c r="G83" s="103"/>
    </row>
    <row r="84" spans="2:7" s="4" customFormat="1" x14ac:dyDescent="0.2">
      <c r="B84" s="10"/>
      <c r="C84" s="10"/>
      <c r="D84" s="94"/>
      <c r="E84" s="95"/>
      <c r="F84" s="95"/>
      <c r="G84" s="103"/>
    </row>
    <row r="85" spans="2:7" s="4" customFormat="1" x14ac:dyDescent="0.2">
      <c r="B85" s="10"/>
      <c r="C85" s="10"/>
      <c r="D85" s="94"/>
      <c r="E85" s="95"/>
      <c r="F85" s="95"/>
      <c r="G85" s="103"/>
    </row>
    <row r="86" spans="2:7" s="4" customFormat="1" x14ac:dyDescent="0.2">
      <c r="B86" s="10"/>
      <c r="C86" s="10"/>
      <c r="D86" s="10"/>
      <c r="E86" s="10"/>
      <c r="F86" s="95"/>
      <c r="G86" s="103"/>
    </row>
    <row r="87" spans="2:7" s="4" customFormat="1" x14ac:dyDescent="0.2">
      <c r="B87" s="10"/>
      <c r="C87" s="10"/>
      <c r="D87" s="10"/>
      <c r="E87" s="10"/>
      <c r="F87" s="95"/>
      <c r="G87" s="103"/>
    </row>
    <row r="88" spans="2:7" s="4" customFormat="1" x14ac:dyDescent="0.2">
      <c r="B88" s="10"/>
      <c r="C88" s="10"/>
      <c r="D88" s="10"/>
      <c r="E88" s="10"/>
      <c r="F88" s="95"/>
      <c r="G88" s="103"/>
    </row>
    <row r="89" spans="2:7" s="4" customFormat="1" x14ac:dyDescent="0.2">
      <c r="B89" s="10"/>
      <c r="C89" s="10"/>
      <c r="D89" s="10"/>
      <c r="E89" s="10"/>
      <c r="F89" s="95"/>
      <c r="G89" s="103"/>
    </row>
    <row r="90" spans="2:7" s="4" customFormat="1" x14ac:dyDescent="0.2">
      <c r="B90" s="10"/>
      <c r="C90" s="10"/>
      <c r="D90" s="10"/>
      <c r="E90" s="10"/>
      <c r="F90" s="95"/>
      <c r="G90" s="103"/>
    </row>
    <row r="91" spans="2:7" s="4" customFormat="1" x14ac:dyDescent="0.2">
      <c r="B91" s="10"/>
      <c r="C91" s="10"/>
      <c r="D91" s="10"/>
      <c r="E91" s="10"/>
      <c r="F91" s="95"/>
      <c r="G91" s="103"/>
    </row>
    <row r="92" spans="2:7" s="4" customFormat="1" ht="13.5" customHeight="1" x14ac:dyDescent="0.2">
      <c r="B92" s="10"/>
      <c r="C92" s="10"/>
      <c r="D92" s="10"/>
      <c r="E92" s="10"/>
      <c r="F92" s="95"/>
      <c r="G92" s="103"/>
    </row>
    <row r="93" spans="2:7" s="4" customFormat="1" x14ac:dyDescent="0.2">
      <c r="B93" s="10"/>
      <c r="C93" s="10"/>
      <c r="D93" s="10"/>
      <c r="E93" s="10"/>
      <c r="F93" s="95"/>
      <c r="G93" s="103"/>
    </row>
    <row r="94" spans="2:7" s="4" customFormat="1" x14ac:dyDescent="0.2">
      <c r="B94" s="10"/>
      <c r="C94" s="10"/>
      <c r="D94" s="10"/>
      <c r="E94" s="10"/>
      <c r="F94" s="95"/>
      <c r="G94" s="103"/>
    </row>
    <row r="95" spans="2:7" s="4" customFormat="1" x14ac:dyDescent="0.2">
      <c r="B95" s="10"/>
      <c r="C95" s="10"/>
      <c r="D95" s="10"/>
      <c r="E95" s="10"/>
      <c r="F95" s="95"/>
      <c r="G95" s="103"/>
    </row>
    <row r="96" spans="2:7" s="4" customFormat="1" x14ac:dyDescent="0.2">
      <c r="B96" s="10"/>
      <c r="C96" s="10"/>
      <c r="D96" s="10"/>
      <c r="E96" s="10"/>
      <c r="F96" s="95"/>
      <c r="G96" s="103"/>
    </row>
    <row r="97" spans="2:12" s="4" customFormat="1" x14ac:dyDescent="0.2">
      <c r="B97" s="10"/>
      <c r="C97" s="10"/>
      <c r="D97" s="10"/>
      <c r="E97" s="10"/>
      <c r="F97" s="95"/>
      <c r="G97" s="103"/>
    </row>
    <row r="98" spans="2:12" s="4" customFormat="1" x14ac:dyDescent="0.2">
      <c r="B98" s="10"/>
      <c r="C98" s="10"/>
      <c r="D98" s="10"/>
      <c r="E98" s="10"/>
      <c r="F98" s="95"/>
      <c r="G98" s="103"/>
    </row>
    <row r="99" spans="2:12" s="4" customFormat="1" x14ac:dyDescent="0.2">
      <c r="B99" s="10"/>
      <c r="C99" s="10"/>
      <c r="D99" s="10"/>
      <c r="E99" s="10"/>
      <c r="F99" s="95"/>
      <c r="G99" s="103"/>
    </row>
    <row r="100" spans="2:12" s="4" customFormat="1" x14ac:dyDescent="0.2">
      <c r="B100" s="10"/>
      <c r="C100" s="10"/>
      <c r="D100" s="10"/>
      <c r="E100" s="10"/>
      <c r="F100" s="95"/>
      <c r="G100" s="103"/>
    </row>
    <row r="101" spans="2:12" s="4" customFormat="1" x14ac:dyDescent="0.2">
      <c r="B101" s="10"/>
      <c r="C101" s="10"/>
      <c r="D101" s="10"/>
      <c r="E101" s="10"/>
      <c r="F101" s="95"/>
      <c r="G101" s="103"/>
    </row>
    <row r="102" spans="2:12" s="4" customFormat="1" ht="13.5" customHeight="1" x14ac:dyDescent="0.2">
      <c r="B102" s="10"/>
      <c r="C102" s="10"/>
      <c r="D102" s="10"/>
      <c r="E102" s="10"/>
      <c r="F102" s="95"/>
      <c r="G102" s="103"/>
    </row>
    <row r="103" spans="2:12" x14ac:dyDescent="0.2">
      <c r="B103" s="10"/>
      <c r="C103" s="10"/>
      <c r="D103" s="10"/>
      <c r="E103" s="10"/>
      <c r="F103" s="95"/>
      <c r="G103" s="103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4"/>
      <c r="G104" s="103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4"/>
      <c r="G105" s="103"/>
      <c r="H105" s="4"/>
      <c r="I105" s="4"/>
      <c r="J105" s="4"/>
    </row>
    <row r="106" spans="2:12" x14ac:dyDescent="0.2">
      <c r="B106" s="10"/>
      <c r="C106" s="10"/>
      <c r="D106" s="10"/>
      <c r="E106" s="10"/>
      <c r="F106" s="4"/>
      <c r="G106" s="103"/>
      <c r="H106" s="4"/>
      <c r="I106" s="4"/>
      <c r="J106" s="4"/>
    </row>
    <row r="107" spans="2:12" x14ac:dyDescent="0.2">
      <c r="B107" s="10"/>
      <c r="C107" s="10"/>
      <c r="D107" s="10"/>
      <c r="E107" s="10"/>
      <c r="F107" s="4"/>
      <c r="G107" s="103"/>
    </row>
    <row r="108" spans="2:12" x14ac:dyDescent="0.2">
      <c r="B108" s="10"/>
      <c r="C108" s="10"/>
      <c r="D108" s="10"/>
      <c r="E108" s="10"/>
      <c r="F108" s="4"/>
      <c r="G108" s="103"/>
    </row>
    <row r="109" spans="2:12" x14ac:dyDescent="0.2">
      <c r="B109" s="10"/>
      <c r="C109" s="10"/>
      <c r="D109" s="10"/>
      <c r="E109" s="10"/>
      <c r="F109" s="4"/>
      <c r="G109" s="103"/>
    </row>
    <row r="110" spans="2:12" x14ac:dyDescent="0.2">
      <c r="B110" s="10"/>
      <c r="C110" s="10"/>
      <c r="D110" s="10"/>
      <c r="E110" s="10"/>
      <c r="F110" s="4"/>
      <c r="G110" s="103"/>
    </row>
    <row r="111" spans="2:12" x14ac:dyDescent="0.2">
      <c r="B111" s="10"/>
      <c r="C111" s="10"/>
      <c r="D111" s="10"/>
      <c r="E111" s="10"/>
      <c r="F111" s="4"/>
      <c r="G111" s="103"/>
    </row>
    <row r="112" spans="2:12" x14ac:dyDescent="0.2">
      <c r="B112" s="10"/>
      <c r="C112" s="10"/>
      <c r="D112" s="10"/>
      <c r="E112" s="10"/>
      <c r="F112" s="4"/>
      <c r="G112" s="103"/>
    </row>
    <row r="113" spans="2:7" x14ac:dyDescent="0.2">
      <c r="B113" s="10"/>
      <c r="C113" s="10"/>
      <c r="D113" s="10"/>
      <c r="E113" s="10"/>
      <c r="F113" s="4"/>
      <c r="G113" s="103"/>
    </row>
    <row r="114" spans="2:7" x14ac:dyDescent="0.2">
      <c r="B114" s="10"/>
      <c r="C114" s="10"/>
      <c r="D114" s="10"/>
      <c r="E114" s="10"/>
      <c r="F114" s="4"/>
      <c r="G114" s="103"/>
    </row>
    <row r="115" spans="2:7" x14ac:dyDescent="0.2">
      <c r="B115" s="10"/>
      <c r="C115" s="10"/>
      <c r="D115" s="10"/>
      <c r="E115" s="10"/>
      <c r="F115" s="4"/>
      <c r="G115" s="103"/>
    </row>
    <row r="116" spans="2:7" x14ac:dyDescent="0.2">
      <c r="B116" s="10"/>
      <c r="C116" s="10"/>
      <c r="D116" s="10"/>
      <c r="E116" s="10"/>
      <c r="F116" s="4"/>
      <c r="G116" s="103"/>
    </row>
    <row r="117" spans="2:7" x14ac:dyDescent="0.2">
      <c r="B117" s="10"/>
      <c r="C117" s="10"/>
      <c r="D117" s="10"/>
      <c r="E117" s="10"/>
      <c r="F117" s="4"/>
      <c r="G117" s="103"/>
    </row>
    <row r="118" spans="2:7" x14ac:dyDescent="0.2">
      <c r="B118" s="10"/>
      <c r="C118" s="10"/>
      <c r="D118" s="10"/>
      <c r="E118" s="10"/>
      <c r="F118" s="4"/>
      <c r="G118" s="103"/>
    </row>
    <row r="119" spans="2:7" x14ac:dyDescent="0.2">
      <c r="B119" s="10"/>
      <c r="C119" s="10"/>
      <c r="D119" s="10"/>
      <c r="E119" s="10"/>
      <c r="F119" s="4"/>
      <c r="G119" s="103"/>
    </row>
    <row r="120" spans="2:7" x14ac:dyDescent="0.2">
      <c r="B120" s="10"/>
      <c r="C120" s="10"/>
      <c r="D120" s="10"/>
      <c r="E120" s="10"/>
      <c r="F120" s="4"/>
      <c r="G120" s="103"/>
    </row>
    <row r="121" spans="2:7" x14ac:dyDescent="0.2">
      <c r="B121" s="10"/>
      <c r="C121" s="10"/>
      <c r="D121" s="10"/>
      <c r="E121" s="10"/>
      <c r="F121" s="4"/>
      <c r="G121" s="103"/>
    </row>
    <row r="122" spans="2:7" x14ac:dyDescent="0.2">
      <c r="B122" s="10"/>
      <c r="C122" s="10"/>
      <c r="D122" s="10"/>
      <c r="E122" s="10"/>
      <c r="F122" s="4"/>
      <c r="G122" s="103"/>
    </row>
    <row r="123" spans="2:7" x14ac:dyDescent="0.2">
      <c r="B123" s="10"/>
      <c r="C123" s="10"/>
      <c r="D123" s="10"/>
      <c r="E123" s="10"/>
      <c r="F123" s="4"/>
      <c r="G123" s="103"/>
    </row>
    <row r="124" spans="2:7" x14ac:dyDescent="0.2">
      <c r="B124" s="10"/>
      <c r="C124" s="10"/>
      <c r="D124" s="10"/>
      <c r="E124" s="10"/>
      <c r="F124" s="4"/>
      <c r="G124" s="103"/>
    </row>
    <row r="125" spans="2:7" x14ac:dyDescent="0.2">
      <c r="B125" s="10"/>
      <c r="C125" s="10"/>
      <c r="D125" s="10"/>
      <c r="E125" s="10"/>
      <c r="F125" s="4"/>
      <c r="G125" s="103"/>
    </row>
    <row r="126" spans="2:7" x14ac:dyDescent="0.2">
      <c r="B126" s="10"/>
      <c r="C126" s="10"/>
      <c r="D126" s="10"/>
      <c r="E126" s="10"/>
      <c r="F126" s="4"/>
      <c r="G126" s="103"/>
    </row>
    <row r="127" spans="2:7" x14ac:dyDescent="0.2">
      <c r="B127" s="10"/>
      <c r="C127" s="10"/>
      <c r="D127" s="10"/>
      <c r="E127" s="10"/>
      <c r="F127" s="4"/>
      <c r="G127" s="103"/>
    </row>
    <row r="128" spans="2:7" x14ac:dyDescent="0.2">
      <c r="B128" s="10"/>
      <c r="C128" s="10"/>
      <c r="D128" s="10"/>
      <c r="E128" s="10"/>
      <c r="F128" s="4"/>
      <c r="G128" s="103"/>
    </row>
    <row r="129" spans="2:7" x14ac:dyDescent="0.2">
      <c r="B129" s="10"/>
      <c r="C129" s="10"/>
      <c r="D129" s="10"/>
      <c r="E129" s="10"/>
      <c r="F129" s="4"/>
      <c r="G129" s="103"/>
    </row>
    <row r="130" spans="2:7" x14ac:dyDescent="0.2">
      <c r="B130" s="10"/>
      <c r="C130" s="10"/>
      <c r="D130" s="10"/>
      <c r="E130" s="10"/>
      <c r="F130" s="4"/>
      <c r="G130" s="103"/>
    </row>
    <row r="131" spans="2:7" x14ac:dyDescent="0.2">
      <c r="B131" s="10"/>
      <c r="C131" s="10"/>
      <c r="D131" s="10"/>
      <c r="E131" s="10"/>
      <c r="F131" s="4"/>
      <c r="G131" s="103"/>
    </row>
    <row r="132" spans="2:7" x14ac:dyDescent="0.2">
      <c r="B132" s="10"/>
      <c r="C132" s="10"/>
      <c r="D132" s="10"/>
      <c r="E132" s="10"/>
      <c r="F132" s="4"/>
      <c r="G132" s="103"/>
    </row>
    <row r="133" spans="2:7" x14ac:dyDescent="0.2">
      <c r="B133" s="10"/>
      <c r="C133" s="10"/>
      <c r="D133" s="10"/>
      <c r="E133" s="10"/>
      <c r="F133" s="4"/>
      <c r="G133" s="103"/>
    </row>
    <row r="134" spans="2:7" x14ac:dyDescent="0.2">
      <c r="B134" s="10"/>
      <c r="C134" s="10"/>
      <c r="D134" s="10"/>
      <c r="E134" s="10"/>
      <c r="F134" s="4"/>
      <c r="G134" s="103"/>
    </row>
    <row r="135" spans="2:7" x14ac:dyDescent="0.2">
      <c r="B135" s="10"/>
      <c r="C135" s="10"/>
      <c r="D135" s="10"/>
      <c r="E135" s="10"/>
      <c r="F135" s="4"/>
      <c r="G135" s="103"/>
    </row>
    <row r="136" spans="2:7" x14ac:dyDescent="0.2">
      <c r="B136" s="10"/>
      <c r="C136" s="10"/>
      <c r="D136" s="10"/>
      <c r="E136" s="10"/>
      <c r="F136" s="4"/>
      <c r="G136" s="103"/>
    </row>
    <row r="137" spans="2:7" x14ac:dyDescent="0.2">
      <c r="B137" s="10"/>
      <c r="C137" s="10"/>
      <c r="D137" s="10"/>
      <c r="E137" s="10"/>
      <c r="F137" s="4"/>
      <c r="G137" s="103"/>
    </row>
    <row r="138" spans="2:7" x14ac:dyDescent="0.2">
      <c r="B138" s="10"/>
      <c r="C138" s="10"/>
      <c r="D138" s="10"/>
      <c r="E138" s="10"/>
      <c r="F138" s="4"/>
      <c r="G138" s="103"/>
    </row>
    <row r="139" spans="2:7" x14ac:dyDescent="0.2">
      <c r="B139" s="10"/>
      <c r="C139" s="10"/>
      <c r="D139" s="10"/>
      <c r="E139" s="10"/>
      <c r="F139" s="4"/>
      <c r="G139" s="103"/>
    </row>
    <row r="140" spans="2:7" x14ac:dyDescent="0.2">
      <c r="B140" s="10"/>
      <c r="C140" s="10"/>
      <c r="D140" s="10"/>
      <c r="E140" s="10"/>
      <c r="F140" s="4"/>
      <c r="G140" s="103"/>
    </row>
    <row r="141" spans="2:7" x14ac:dyDescent="0.2">
      <c r="B141" s="10"/>
      <c r="C141" s="10"/>
      <c r="D141" s="10"/>
      <c r="E141" s="10"/>
      <c r="F141" s="4"/>
      <c r="G141" s="103"/>
    </row>
    <row r="142" spans="2:7" x14ac:dyDescent="0.2">
      <c r="B142" s="10"/>
      <c r="C142" s="10"/>
      <c r="D142" s="10"/>
      <c r="E142" s="10"/>
      <c r="F142" s="4"/>
      <c r="G142" s="103"/>
    </row>
    <row r="143" spans="2:7" x14ac:dyDescent="0.2">
      <c r="B143" s="10"/>
      <c r="C143" s="10"/>
      <c r="D143" s="10"/>
      <c r="E143" s="10"/>
      <c r="F143" s="4"/>
      <c r="G143" s="103"/>
    </row>
    <row r="144" spans="2:7" x14ac:dyDescent="0.2">
      <c r="B144" s="10"/>
      <c r="C144" s="10"/>
      <c r="D144" s="10"/>
      <c r="E144" s="10"/>
      <c r="F144" s="4"/>
      <c r="G144" s="103"/>
    </row>
    <row r="145" spans="2:7" x14ac:dyDescent="0.2">
      <c r="B145" s="10"/>
      <c r="C145" s="10"/>
      <c r="D145" s="10"/>
      <c r="E145" s="10"/>
      <c r="F145" s="4"/>
      <c r="G145" s="103"/>
    </row>
    <row r="146" spans="2:7" x14ac:dyDescent="0.2">
      <c r="B146" s="10"/>
      <c r="C146" s="10"/>
      <c r="D146" s="10"/>
      <c r="E146" s="10"/>
      <c r="F146" s="82"/>
      <c r="G146" s="103"/>
    </row>
    <row r="147" spans="2:7" x14ac:dyDescent="0.2">
      <c r="B147" s="10"/>
      <c r="C147" s="10"/>
      <c r="D147" s="10"/>
      <c r="E147" s="10"/>
      <c r="F147" s="82"/>
      <c r="G147" s="103"/>
    </row>
    <row r="148" spans="2:7" x14ac:dyDescent="0.2">
      <c r="B148" s="10"/>
      <c r="C148" s="10"/>
      <c r="D148" s="10"/>
      <c r="E148" s="10"/>
      <c r="F148" s="82"/>
      <c r="G148" s="103"/>
    </row>
    <row r="149" spans="2:7" x14ac:dyDescent="0.2">
      <c r="B149" s="10"/>
      <c r="C149" s="10"/>
      <c r="D149" s="10"/>
      <c r="E149" s="10"/>
      <c r="F149" s="82"/>
      <c r="G149" s="103"/>
    </row>
    <row r="150" spans="2:7" x14ac:dyDescent="0.2">
      <c r="B150" s="10"/>
      <c r="C150" s="10"/>
      <c r="D150" s="10"/>
      <c r="E150" s="10"/>
      <c r="F150" s="82"/>
      <c r="G150" s="103"/>
    </row>
    <row r="151" spans="2:7" x14ac:dyDescent="0.2">
      <c r="B151" s="10"/>
      <c r="C151" s="10"/>
      <c r="D151" s="10"/>
      <c r="E151" s="10"/>
      <c r="F151" s="82"/>
      <c r="G151" s="103"/>
    </row>
    <row r="152" spans="2:7" x14ac:dyDescent="0.2">
      <c r="B152" s="10"/>
      <c r="C152" s="10"/>
      <c r="D152" s="10"/>
      <c r="E152" s="10"/>
      <c r="F152" s="82"/>
      <c r="G152" s="103"/>
    </row>
    <row r="153" spans="2:7" x14ac:dyDescent="0.2">
      <c r="B153" s="10"/>
      <c r="C153" s="10"/>
      <c r="D153" s="10"/>
      <c r="E153" s="10"/>
      <c r="F153" s="82"/>
      <c r="G153" s="103"/>
    </row>
    <row r="154" spans="2:7" x14ac:dyDescent="0.2">
      <c r="B154" s="10"/>
      <c r="C154" s="10"/>
      <c r="D154" s="10"/>
      <c r="E154" s="10"/>
      <c r="F154" s="82"/>
      <c r="G154" s="103"/>
    </row>
    <row r="155" spans="2:7" x14ac:dyDescent="0.2">
      <c r="B155" s="10"/>
      <c r="C155" s="10"/>
      <c r="D155" s="10"/>
      <c r="E155" s="10"/>
      <c r="F155" s="82"/>
      <c r="G155" s="103"/>
    </row>
    <row r="156" spans="2:7" x14ac:dyDescent="0.2">
      <c r="B156" s="10"/>
      <c r="C156" s="10"/>
      <c r="D156" s="10"/>
      <c r="E156" s="10"/>
      <c r="F156" s="82"/>
      <c r="G156" s="103"/>
    </row>
    <row r="157" spans="2:7" x14ac:dyDescent="0.2">
      <c r="B157" s="10"/>
      <c r="C157" s="10"/>
      <c r="D157" s="10"/>
      <c r="E157" s="10"/>
      <c r="F157" s="82"/>
      <c r="G157" s="103"/>
    </row>
    <row r="158" spans="2:7" x14ac:dyDescent="0.2">
      <c r="B158" s="10"/>
      <c r="C158" s="10"/>
      <c r="D158" s="10"/>
      <c r="E158" s="10"/>
      <c r="F158" s="82"/>
      <c r="G158" s="103"/>
    </row>
    <row r="159" spans="2:7" x14ac:dyDescent="0.2">
      <c r="B159" s="10"/>
      <c r="C159" s="10"/>
      <c r="D159" s="10"/>
      <c r="E159" s="10"/>
      <c r="F159" s="82"/>
      <c r="G159" s="103"/>
    </row>
    <row r="160" spans="2:7" x14ac:dyDescent="0.2">
      <c r="B160" s="10"/>
      <c r="C160" s="10"/>
      <c r="D160" s="10"/>
      <c r="E160" s="10"/>
      <c r="F160" s="82"/>
      <c r="G160" s="103"/>
    </row>
    <row r="161" spans="2:8" x14ac:dyDescent="0.2">
      <c r="B161" s="10"/>
      <c r="C161" s="10"/>
      <c r="D161" s="10"/>
      <c r="E161" s="10"/>
      <c r="F161" s="82"/>
      <c r="G161" s="103"/>
    </row>
    <row r="162" spans="2:8" x14ac:dyDescent="0.2">
      <c r="B162" s="10"/>
      <c r="C162" s="10"/>
      <c r="D162" s="10"/>
      <c r="E162" s="10"/>
      <c r="F162" s="82"/>
      <c r="G162" s="103"/>
    </row>
    <row r="163" spans="2:8" x14ac:dyDescent="0.2">
      <c r="B163" s="10"/>
      <c r="C163" s="10"/>
      <c r="D163" s="10"/>
      <c r="E163" s="10"/>
      <c r="F163" s="82"/>
      <c r="G163" s="103"/>
    </row>
    <row r="164" spans="2:8" x14ac:dyDescent="0.2">
      <c r="B164" s="10"/>
      <c r="C164" s="10"/>
      <c r="D164" s="10"/>
      <c r="E164" s="10"/>
      <c r="F164" s="82"/>
      <c r="G164" s="103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W73"/>
  <sheetViews>
    <sheetView topLeftCell="A13" zoomScaleNormal="100" workbookViewId="0">
      <selection activeCell="G24" sqref="G24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'1257'!D8</f>
        <v>4.3595378031825116E-2</v>
      </c>
      <c r="E2" s="2">
        <f>SUM(D3:D5)</f>
        <v>8.8331216738514353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'1257'!D11</f>
        <v>2.2540927756511038</v>
      </c>
      <c r="D3" s="10">
        <f>$D$2*G43</f>
        <v>2.2231137839168316E-2</v>
      </c>
      <c r="E3" s="10"/>
      <c r="F3" s="11">
        <f>SQRT(D3)</f>
        <v>0.14910109938953608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'1257'!D12</f>
        <v>0.13074017576468408</v>
      </c>
      <c r="D4" s="10">
        <f>$D$2*H44</f>
        <v>9.9589129154689345E-4</v>
      </c>
      <c r="E4" s="10"/>
      <c r="F4" s="11">
        <f>SQRT(D4)</f>
        <v>3.1557745349547604E-2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'1257'!D13</f>
        <v>7.8185661732540961</v>
      </c>
      <c r="D5" s="10">
        <f>$D$2*I45</f>
        <v>8.8098946447207194</v>
      </c>
      <c r="E5" s="10"/>
      <c r="F5" s="11">
        <f>SQRT(D5)</f>
        <v>2.9681466683303772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2.2540927756511036E-4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1.3074017576468408E-5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7.8185661732540958E-4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'1257'!B18</f>
        <v>0</v>
      </c>
      <c r="B22" s="4">
        <f>Q_LA($C$3,$C$4,$C$5,A22,$I$7)</f>
        <v>1.1146151796070686E-3</v>
      </c>
      <c r="C22" s="35">
        <f>Q_Lumax($C$3,$C$4,$C$5,A22,$I$8)</f>
        <v>-1.7661705413104769E-2</v>
      </c>
      <c r="D22" s="36">
        <f>Q_Llameda($C$3,$C$4,$C$5,A22,$I$9)</f>
        <v>-2.9533477351933871E-4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'1257'!B19</f>
        <v>8.25</v>
      </c>
      <c r="B23" s="4">
        <f t="shared" ref="B23:B28" si="0">Q_LA($C$3,$C$4,$C$5,A23,$I$7)</f>
        <v>6.5273647308202426E-2</v>
      </c>
      <c r="C23" s="35">
        <f t="shared" ref="C23:C28" si="1">Q_Lumax($C$3,$C$4,$C$5,A23,$I$8)</f>
        <v>0.23499615439530722</v>
      </c>
      <c r="D23" s="36">
        <f t="shared" ref="D23:D28" si="2">Q_Llameda($C$3,$C$4,$C$5,A23,$I$9)</f>
        <v>-7.12052705109079E-2</v>
      </c>
      <c r="E23" s="37">
        <v>2</v>
      </c>
      <c r="F23" s="40">
        <v>1</v>
      </c>
      <c r="G23" s="42">
        <v>1.1146151796070699E-3</v>
      </c>
      <c r="H23" s="42">
        <v>6.5273647308202426E-2</v>
      </c>
      <c r="I23" s="42">
        <v>0.31667932863947973</v>
      </c>
      <c r="J23" s="42">
        <v>0.51002710879416613</v>
      </c>
      <c r="K23" s="42">
        <v>0.60175221465784856</v>
      </c>
      <c r="L23" s="42">
        <v>0.960600878195355</v>
      </c>
      <c r="M23" s="42">
        <v>0.9986430659908222</v>
      </c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'1257'!B20</f>
        <v>23.000000000058208</v>
      </c>
      <c r="B24" s="4">
        <f t="shared" si="0"/>
        <v>0.31667932863947973</v>
      </c>
      <c r="C24" s="35">
        <f t="shared" si="1"/>
        <v>7.9903304219331366</v>
      </c>
      <c r="D24" s="36">
        <f t="shared" si="2"/>
        <v>-6.8820878627780441E-2</v>
      </c>
      <c r="E24" s="37">
        <v>3</v>
      </c>
      <c r="F24" s="43">
        <v>2</v>
      </c>
      <c r="G24" s="42">
        <v>-1.7661705413104769E-2</v>
      </c>
      <c r="H24" s="42">
        <v>0.23499615439530722</v>
      </c>
      <c r="I24" s="42">
        <v>7.9903304219331366</v>
      </c>
      <c r="J24" s="42">
        <v>6.2052601394894653</v>
      </c>
      <c r="K24" s="42">
        <v>5.1994577902694505</v>
      </c>
      <c r="L24" s="42">
        <v>0.58442644972152669</v>
      </c>
      <c r="M24" s="42">
        <v>2.1247855718958521E-2</v>
      </c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'1257'!B21</f>
        <v>26.666666666802485</v>
      </c>
      <c r="B25" s="4">
        <f t="shared" si="0"/>
        <v>0.51002710879416613</v>
      </c>
      <c r="C25" s="35">
        <f t="shared" si="1"/>
        <v>6.2052601394894653</v>
      </c>
      <c r="D25" s="36">
        <f t="shared" si="2"/>
        <v>-4.305068382951082E-2</v>
      </c>
      <c r="E25" s="37">
        <v>4</v>
      </c>
      <c r="F25" s="43">
        <v>3</v>
      </c>
      <c r="G25" s="42">
        <v>-2.9533477351933871E-4</v>
      </c>
      <c r="H25" s="42">
        <v>-7.12052705109079E-2</v>
      </c>
      <c r="I25" s="42">
        <v>-6.8820878627780441E-2</v>
      </c>
      <c r="J25" s="42">
        <v>-4.305068382951082E-2</v>
      </c>
      <c r="K25" s="42">
        <v>-3.2612853845225533E-2</v>
      </c>
      <c r="L25" s="42">
        <v>-1.9425658174604973E-3</v>
      </c>
      <c r="M25" s="42">
        <v>-4.3819107384877495E-5</v>
      </c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'1257'!B22</f>
        <v>28.666666666686069</v>
      </c>
      <c r="B26" s="4">
        <f t="shared" si="0"/>
        <v>0.60175221465784856</v>
      </c>
      <c r="C26" s="35">
        <f t="shared" si="1"/>
        <v>5.1994577902694505</v>
      </c>
      <c r="D26" s="36">
        <f t="shared" si="2"/>
        <v>-3.2612853845225533E-2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'1257'!B23</f>
        <v>47.166666666744277</v>
      </c>
      <c r="B27" s="4">
        <f t="shared" si="0"/>
        <v>0.960600878195355</v>
      </c>
      <c r="C27" s="35">
        <f t="shared" si="1"/>
        <v>0.58442644972152669</v>
      </c>
      <c r="D27" s="36">
        <f t="shared" si="2"/>
        <v>-1.9425658174604973E-3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'1257'!B24</f>
        <v>71.25</v>
      </c>
      <c r="B28" s="4">
        <f t="shared" si="0"/>
        <v>0.9986430659908222</v>
      </c>
      <c r="C28" s="35">
        <f t="shared" si="1"/>
        <v>2.1247855718958521E-2</v>
      </c>
      <c r="D28" s="36">
        <f t="shared" si="2"/>
        <v>-4.3819107384877495E-5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/>
      <c r="B29" s="4"/>
      <c r="C29" s="35"/>
      <c r="D29" s="36"/>
      <c r="E29" s="37">
        <v>8</v>
      </c>
    </row>
    <row r="30" spans="1:49" ht="13.5" thickBot="1" x14ac:dyDescent="0.25">
      <c r="A30" s="34"/>
      <c r="B30" s="4"/>
      <c r="C30" s="35"/>
      <c r="D30" s="36"/>
      <c r="E30" s="37">
        <v>9</v>
      </c>
      <c r="J30" s="48"/>
      <c r="K30" s="49"/>
      <c r="L30" s="49"/>
    </row>
    <row r="31" spans="1:49" ht="13.5" thickBot="1" x14ac:dyDescent="0.25">
      <c r="A31" s="34"/>
      <c r="B31" s="4"/>
      <c r="C31" s="35"/>
      <c r="D31" s="36"/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/>
      <c r="B32" s="4"/>
      <c r="C32" s="35"/>
      <c r="D32" s="36"/>
      <c r="E32" s="37">
        <v>11</v>
      </c>
      <c r="F32" s="50"/>
      <c r="G32" s="153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/>
      <c r="B33" s="4"/>
      <c r="C33" s="35"/>
      <c r="D33" s="36"/>
      <c r="E33" s="37">
        <v>12</v>
      </c>
      <c r="F33" s="52">
        <v>1</v>
      </c>
      <c r="G33" s="53">
        <f t="array" ref="G33:I35">MMULT(G23:M25,B22:D28)</f>
        <v>2.6468230885792643</v>
      </c>
      <c r="H33" s="54">
        <v>9.421947556919374</v>
      </c>
      <c r="I33" s="55">
        <v>-6.993396944946742E-2</v>
      </c>
      <c r="J33" s="48"/>
      <c r="K33" s="48"/>
      <c r="L33" s="48"/>
    </row>
    <row r="34" spans="1:12" ht="13.5" thickBot="1" x14ac:dyDescent="0.25">
      <c r="A34" s="34"/>
      <c r="B34" s="4"/>
      <c r="C34" s="35"/>
      <c r="D34" s="36"/>
      <c r="E34" s="37">
        <v>13</v>
      </c>
      <c r="F34" s="62">
        <v>2</v>
      </c>
      <c r="G34" s="56">
        <v>9.421947556919374</v>
      </c>
      <c r="H34" s="57">
        <v>129.78253583812611</v>
      </c>
      <c r="I34" s="58">
        <v>-1.0044753760303193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-6.993396944946742E-2</v>
      </c>
      <c r="H35" s="60">
        <v>-1.0044753760303193</v>
      </c>
      <c r="I35" s="61">
        <v>1.2727326202447591E-2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0.50994254076520074</v>
      </c>
      <c r="H43" s="73">
        <v>-3.9402483199657001E-2</v>
      </c>
      <c r="I43" s="74">
        <v>-0.30772512618504522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-3.9402483199656994E-2</v>
      </c>
      <c r="H44" s="76">
        <v>2.2843965037300091E-2</v>
      </c>
      <c r="I44" s="77">
        <v>1.5863998449780168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-0.30772512618504777</v>
      </c>
      <c r="H45" s="76">
        <v>1.586399844978017</v>
      </c>
      <c r="I45" s="78">
        <v>202.08322630645378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topLeftCell="B1"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5.2704319624023217</v>
      </c>
      <c r="D6" s="126">
        <f>SUM(E18:E86)</f>
        <v>0.12874333742951272</v>
      </c>
      <c r="E6" s="111">
        <f>$C$6-$D$6</f>
        <v>5.1416886249728089</v>
      </c>
      <c r="F6" s="112">
        <f>$E$6/$C$6</f>
        <v>0.97557252643655601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0.98771075039029321</v>
      </c>
      <c r="D8" s="2">
        <f>D6/(COUNT(E18:E51)-COUNT(D11:D13)-1)</f>
        <v>2.5748667485902543E-2</v>
      </c>
      <c r="E8" s="2">
        <f>(E6/1)</f>
        <v>5.1416886249728089</v>
      </c>
      <c r="F8" s="2">
        <f>E8/D8</f>
        <v>199.68756161024237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1.9290573346759605</v>
      </c>
      <c r="E11" s="163">
        <f>'ERROS_1257 (2)'!F3</f>
        <v>11.561505579121775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5.095485246347041E-2</v>
      </c>
      <c r="E12" s="163">
        <f>'ERROS_1257 (2)'!F4</f>
        <v>3.7236831733588376E-2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82.724309222656814</v>
      </c>
      <c r="E13" s="163">
        <f>'ERROS_1257 (2)'!F5</f>
        <v>8.8948863579072324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8">
        <v>26.666666666802485</v>
      </c>
      <c r="C18" s="130">
        <v>2.7133333333333334</v>
      </c>
      <c r="D18" s="132">
        <f>$C$18+$D$11*EXP(-EXP(($D$12*EXP(1))/$D$11*($D$13-B18)+1))</f>
        <v>2.7133333333333334</v>
      </c>
      <c r="E18" s="133">
        <f t="shared" ref="E18:E20" si="0">(C18-D18)^2</f>
        <v>0</v>
      </c>
      <c r="F18" s="94"/>
      <c r="G18" s="94"/>
      <c r="H18" s="138">
        <v>71.25</v>
      </c>
      <c r="I18" s="95"/>
      <c r="K18" s="4"/>
      <c r="L18" s="4"/>
      <c r="M18" s="4"/>
      <c r="N18" s="122"/>
      <c r="O18" s="122"/>
    </row>
    <row r="19" spans="2:15" ht="13.5" customHeight="1" x14ac:dyDescent="0.2">
      <c r="B19" s="138">
        <v>28.666666666686069</v>
      </c>
      <c r="C19" s="130">
        <v>2.6200000000000006</v>
      </c>
      <c r="D19" s="132">
        <f t="shared" ref="D19:D20" si="1">$C$18+$D$11*EXP(-EXP(($D$12*EXP(1))/$D$11*($D$13-B19)+1))</f>
        <v>2.7133333333333334</v>
      </c>
      <c r="E19" s="133">
        <f t="shared" si="0"/>
        <v>8.7111111111110168E-3</v>
      </c>
      <c r="F19" s="94"/>
      <c r="G19" s="94"/>
      <c r="H19" s="138">
        <v>93.500000000058208</v>
      </c>
      <c r="I19" s="95"/>
      <c r="J19" s="95"/>
      <c r="K19" s="150"/>
      <c r="L19" s="150"/>
      <c r="M19" s="150"/>
      <c r="N19" s="4"/>
    </row>
    <row r="20" spans="2:15" x14ac:dyDescent="0.2">
      <c r="B20" s="138">
        <v>47.166666666744277</v>
      </c>
      <c r="C20" s="130">
        <v>2.6</v>
      </c>
      <c r="D20" s="132">
        <f t="shared" si="1"/>
        <v>2.7133333333333347</v>
      </c>
      <c r="E20" s="133">
        <f t="shared" si="0"/>
        <v>1.2844444444444736E-2</v>
      </c>
      <c r="F20" s="94"/>
      <c r="G20" s="94"/>
      <c r="H20" s="138">
        <v>101.91666666674428</v>
      </c>
      <c r="I20" s="95"/>
      <c r="J20" s="95"/>
      <c r="K20" s="147"/>
      <c r="L20" s="147"/>
      <c r="M20" s="147"/>
      <c r="N20" s="122"/>
    </row>
    <row r="21" spans="2:15" x14ac:dyDescent="0.2">
      <c r="B21" s="138">
        <v>71.25</v>
      </c>
      <c r="C21" s="130">
        <v>2.85</v>
      </c>
      <c r="D21" s="132">
        <f t="shared" ref="D21:D25" si="2">$C$18+$D$11*EXP(-EXP(($D$12*EXP(1))/$D$11*($D$13-B21)+1))</f>
        <v>2.7172646112073982</v>
      </c>
      <c r="E21" s="133">
        <f t="shared" ref="E21:E26" si="3">(C21-D21)^2</f>
        <v>1.7618683437923197E-2</v>
      </c>
      <c r="F21" s="94"/>
      <c r="G21" s="94"/>
      <c r="H21" s="138">
        <v>118.5</v>
      </c>
      <c r="I21" s="95"/>
      <c r="J21" s="95"/>
      <c r="K21" s="147"/>
      <c r="L21" s="124"/>
      <c r="M21" s="124"/>
      <c r="N21" s="122"/>
    </row>
    <row r="22" spans="2:15" x14ac:dyDescent="0.2">
      <c r="B22" s="138">
        <v>93.500000000058208</v>
      </c>
      <c r="C22" s="130">
        <v>3.2416666666666671</v>
      </c>
      <c r="D22" s="132">
        <f t="shared" si="2"/>
        <v>3.2638468513890611</v>
      </c>
      <c r="E22" s="133">
        <f t="shared" si="3"/>
        <v>4.919605943195164E-4</v>
      </c>
      <c r="F22" s="94"/>
      <c r="G22" s="94"/>
      <c r="H22" s="138">
        <v>125.83333333331393</v>
      </c>
      <c r="I22" s="95"/>
      <c r="J22" s="95"/>
      <c r="K22" s="148"/>
      <c r="L22" s="124"/>
      <c r="M22" s="124"/>
      <c r="N22" s="4"/>
    </row>
    <row r="23" spans="2:15" x14ac:dyDescent="0.2">
      <c r="B23" s="138">
        <v>101.91666666674428</v>
      </c>
      <c r="C23" s="130">
        <v>3.7333333333333329</v>
      </c>
      <c r="D23" s="132">
        <f t="shared" si="2"/>
        <v>3.6855577645321245</v>
      </c>
      <c r="E23" s="133">
        <f t="shared" si="3"/>
        <v>2.282504974279005E-3</v>
      </c>
      <c r="F23" s="94"/>
      <c r="G23" s="94"/>
      <c r="H23" s="138">
        <v>165.25000000011642</v>
      </c>
      <c r="I23" s="95"/>
      <c r="J23" s="95"/>
      <c r="K23" s="148"/>
      <c r="L23" s="124"/>
      <c r="M23" s="124"/>
      <c r="N23" s="4"/>
    </row>
    <row r="24" spans="2:15" x14ac:dyDescent="0.2">
      <c r="B24" s="138">
        <v>118.5</v>
      </c>
      <c r="C24" s="130">
        <v>4.083333333333333</v>
      </c>
      <c r="D24" s="132">
        <f t="shared" si="2"/>
        <v>4.279650937659321</v>
      </c>
      <c r="E24" s="133">
        <f t="shared" si="3"/>
        <v>3.8540601768295178E-2</v>
      </c>
      <c r="F24" s="94"/>
      <c r="G24" s="94"/>
      <c r="H24" s="95"/>
      <c r="I24" s="95"/>
      <c r="J24" s="95"/>
      <c r="K24" s="148"/>
      <c r="L24" s="124"/>
      <c r="M24" s="124"/>
      <c r="N24" s="122"/>
    </row>
    <row r="25" spans="2:15" x14ac:dyDescent="0.2">
      <c r="B25" s="138">
        <v>125.83333333331393</v>
      </c>
      <c r="C25" s="130">
        <v>4.6333333333333329</v>
      </c>
      <c r="D25" s="132">
        <f t="shared" si="2"/>
        <v>4.4190722935656908</v>
      </c>
      <c r="E25" s="133">
        <f t="shared" si="3"/>
        <v>4.5907793162311111E-2</v>
      </c>
      <c r="F25" s="94"/>
      <c r="G25" s="94"/>
      <c r="H25" s="95"/>
      <c r="I25" s="95"/>
      <c r="J25" s="95"/>
      <c r="K25" s="149"/>
      <c r="L25" s="124"/>
      <c r="M25" s="124"/>
      <c r="N25" s="122"/>
    </row>
    <row r="26" spans="2:15" x14ac:dyDescent="0.2">
      <c r="B26" s="138">
        <v>165.25000000011642</v>
      </c>
      <c r="C26" s="130">
        <v>4.58</v>
      </c>
      <c r="D26" s="132">
        <f>$C$18+$D$11*EXP(-EXP(($D$12*EXP(1))/$D$11*($D$13-B26)+1))</f>
        <v>4.6284379803132722</v>
      </c>
      <c r="E26" s="133">
        <f t="shared" si="3"/>
        <v>2.3462379368289431E-3</v>
      </c>
      <c r="F26" s="94"/>
      <c r="G26" s="94"/>
      <c r="H26" s="95"/>
      <c r="I26" s="95"/>
      <c r="J26" s="103"/>
      <c r="K26" s="122"/>
      <c r="L26" s="122"/>
      <c r="M26" s="122"/>
      <c r="N26" s="4"/>
    </row>
    <row r="27" spans="2:15" x14ac:dyDescent="0.2">
      <c r="B27" s="138"/>
      <c r="C27" s="130"/>
      <c r="D27" s="132"/>
      <c r="E27" s="133"/>
      <c r="F27" s="94"/>
      <c r="G27" s="94"/>
      <c r="H27" s="95"/>
      <c r="I27" s="95"/>
      <c r="J27" s="103"/>
      <c r="K27" s="122"/>
      <c r="L27" s="122"/>
      <c r="M27" s="122"/>
      <c r="N27" s="4"/>
    </row>
    <row r="28" spans="2:15" x14ac:dyDescent="0.2">
      <c r="B28" s="138"/>
      <c r="C28" s="130"/>
      <c r="D28" s="132"/>
      <c r="E28" s="133"/>
      <c r="F28" s="94"/>
      <c r="G28" s="94"/>
      <c r="H28" s="95"/>
      <c r="I28" s="95"/>
      <c r="J28" s="122"/>
      <c r="K28" s="122"/>
      <c r="L28" s="122"/>
    </row>
    <row r="29" spans="2:15" x14ac:dyDescent="0.2">
      <c r="B29" s="138"/>
      <c r="C29" s="130"/>
      <c r="D29" s="132"/>
      <c r="E29" s="133"/>
      <c r="F29" s="94"/>
      <c r="G29" s="94"/>
      <c r="H29" s="95"/>
      <c r="I29" s="95"/>
      <c r="J29" s="122"/>
      <c r="K29" s="122"/>
      <c r="L29" s="122"/>
    </row>
    <row r="30" spans="2:15" x14ac:dyDescent="0.2">
      <c r="B30" s="138"/>
      <c r="C30" s="130"/>
      <c r="D30" s="132"/>
      <c r="E30" s="133"/>
      <c r="F30" s="94"/>
      <c r="G30" s="94"/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26</v>
      </c>
      <c r="G31" s="94">
        <v>2.6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28</v>
      </c>
      <c r="G32" s="94">
        <f t="shared" ref="G32:G45" si="4">$C$18+$D$11*EXP(-EXP(($D$12*EXP(1))/$D$11*($D$13-F32)+1))</f>
        <v>2.7133333333333334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30</v>
      </c>
      <c r="G33" s="94">
        <f t="shared" si="4"/>
        <v>2.7133333333333334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32</v>
      </c>
      <c r="G34" s="94">
        <f t="shared" si="4"/>
        <v>2.7133333333333334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34</v>
      </c>
      <c r="G35" s="94">
        <f t="shared" si="4"/>
        <v>2.7133333333333334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36</v>
      </c>
      <c r="G36" s="94">
        <f t="shared" si="4"/>
        <v>2.7133333333333334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38</v>
      </c>
      <c r="G37" s="94">
        <f t="shared" si="4"/>
        <v>2.7133333333333334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40</v>
      </c>
      <c r="G38" s="94">
        <f t="shared" si="4"/>
        <v>2.7133333333333334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42</v>
      </c>
      <c r="G39" s="94">
        <f t="shared" si="4"/>
        <v>2.7133333333333334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44</v>
      </c>
      <c r="G40" s="94">
        <f t="shared" si="4"/>
        <v>2.7133333333333334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46</v>
      </c>
      <c r="G41" s="94">
        <f t="shared" si="4"/>
        <v>2.7133333333333334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48</v>
      </c>
      <c r="G42" s="94">
        <f t="shared" si="4"/>
        <v>2.7133333333333436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50</v>
      </c>
      <c r="G43" s="94">
        <f t="shared" si="4"/>
        <v>2.7133333333341478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52</v>
      </c>
      <c r="G44" s="94">
        <f t="shared" si="4"/>
        <v>2.7133333333701679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54</v>
      </c>
      <c r="G45" s="94">
        <f t="shared" si="4"/>
        <v>2.7133333343336496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56</v>
      </c>
      <c r="G46" s="94">
        <f t="shared" ref="G46:G63" si="5">$C$18+$D$11*EXP(-EXP(($D$12*EXP(1))/$D$11*($D$13-F46)+1))</f>
        <v>2.7133333507999406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58</v>
      </c>
      <c r="G47" s="94">
        <f t="shared" si="5"/>
        <v>2.7133335413650004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60</v>
      </c>
      <c r="G48" s="94">
        <f t="shared" si="5"/>
        <v>2.7133351121274143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62</v>
      </c>
      <c r="G49" s="94">
        <f t="shared" si="5"/>
        <v>2.7133447476486618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64</v>
      </c>
      <c r="G50" s="94">
        <f t="shared" si="5"/>
        <v>2.7133904521565744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66</v>
      </c>
      <c r="G51" s="94">
        <f t="shared" si="5"/>
        <v>2.7135637745554453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68</v>
      </c>
      <c r="G52" s="94">
        <f t="shared" si="5"/>
        <v>2.7141047810339511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70</v>
      </c>
      <c r="G53" s="94">
        <f t="shared" si="5"/>
        <v>2.7155304752609992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72</v>
      </c>
      <c r="G54" s="94">
        <f t="shared" si="5"/>
        <v>2.7187734084935498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74</v>
      </c>
      <c r="G55" s="94">
        <f t="shared" si="5"/>
        <v>2.7252644376987663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76</v>
      </c>
      <c r="G56" s="94">
        <f t="shared" si="5"/>
        <v>2.7368909358187326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78</v>
      </c>
      <c r="G57" s="94">
        <f t="shared" si="5"/>
        <v>2.7558011052396139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80</v>
      </c>
      <c r="G58" s="94">
        <f t="shared" si="5"/>
        <v>2.7840875984431168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82</v>
      </c>
      <c r="G59" s="94">
        <f t="shared" si="5"/>
        <v>2.8234340489873402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84</v>
      </c>
      <c r="G60" s="94">
        <f t="shared" si="5"/>
        <v>2.8748208763834269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86</v>
      </c>
      <c r="G61" s="94">
        <f t="shared" si="5"/>
        <v>2.9383608450619381</v>
      </c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>
        <v>88</v>
      </c>
      <c r="G62" s="94">
        <f t="shared" si="5"/>
        <v>3.0132886594360229</v>
      </c>
      <c r="H62" s="122"/>
      <c r="I62" s="122"/>
      <c r="J62" s="122"/>
    </row>
    <row r="63" spans="2:11" x14ac:dyDescent="0.2">
      <c r="B63" s="122"/>
      <c r="C63" s="94"/>
      <c r="D63" s="94"/>
      <c r="E63" s="95"/>
      <c r="F63" s="94">
        <v>90</v>
      </c>
      <c r="G63" s="94">
        <f t="shared" si="5"/>
        <v>3.0980848895167705</v>
      </c>
      <c r="H63" s="122"/>
      <c r="I63" s="122"/>
      <c r="J63" s="122"/>
    </row>
    <row r="64" spans="2:11" x14ac:dyDescent="0.2">
      <c r="B64" s="122"/>
      <c r="C64" s="94"/>
      <c r="D64" s="94"/>
      <c r="E64" s="95"/>
      <c r="F64" s="94">
        <v>92</v>
      </c>
      <c r="G64" s="94">
        <f t="shared" ref="G64:G69" si="6">$C$18+$D$11*EXP(-EXP(($D$12*EXP(1))/$D$11*($D$13-F64)+1))</f>
        <v>3.1906873685493324</v>
      </c>
      <c r="H64" s="122"/>
      <c r="I64" s="122"/>
      <c r="J64" s="122"/>
    </row>
    <row r="65" spans="2:12" x14ac:dyDescent="0.2">
      <c r="B65" s="122"/>
      <c r="C65" s="94"/>
      <c r="D65" s="94"/>
      <c r="E65" s="95"/>
      <c r="F65" s="94">
        <v>94</v>
      </c>
      <c r="G65" s="94">
        <f t="shared" si="6"/>
        <v>3.2887361651829541</v>
      </c>
      <c r="H65" s="122"/>
      <c r="I65" s="122"/>
      <c r="J65" s="122"/>
    </row>
    <row r="66" spans="2:12" x14ac:dyDescent="0.2">
      <c r="B66" s="122"/>
      <c r="C66" s="94"/>
      <c r="D66" s="94"/>
      <c r="E66" s="95"/>
      <c r="F66" s="94">
        <v>96</v>
      </c>
      <c r="G66" s="94">
        <f t="shared" si="6"/>
        <v>3.3898064472624494</v>
      </c>
      <c r="H66" s="122"/>
      <c r="I66" s="122"/>
      <c r="J66" s="122"/>
    </row>
    <row r="67" spans="2:12" x14ac:dyDescent="0.2">
      <c r="B67" s="122"/>
      <c r="C67" s="94"/>
      <c r="D67" s="94"/>
      <c r="E67" s="95"/>
      <c r="F67" s="94">
        <v>98</v>
      </c>
      <c r="G67" s="94">
        <f t="shared" si="6"/>
        <v>3.4915992436118639</v>
      </c>
      <c r="H67" s="122"/>
      <c r="I67" s="122"/>
      <c r="J67" s="122"/>
    </row>
    <row r="68" spans="2:12" x14ac:dyDescent="0.2">
      <c r="B68" s="122"/>
      <c r="C68" s="94"/>
      <c r="D68" s="94"/>
      <c r="E68" s="95"/>
      <c r="F68" s="94">
        <v>100</v>
      </c>
      <c r="G68" s="94">
        <f t="shared" si="6"/>
        <v>3.5920765148083276</v>
      </c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>
        <v>102</v>
      </c>
      <c r="G69" s="94">
        <f t="shared" si="6"/>
        <v>3.6895399991666133</v>
      </c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>
        <v>104</v>
      </c>
      <c r="G70" s="94">
        <f t="shared" ref="G70:G103" si="7">$C$18+$D$11*EXP(-EXP(($D$12*EXP(1))/$D$11*($D$13-F70)+1))</f>
        <v>3.7826615735907745</v>
      </c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>
        <v>106</v>
      </c>
      <c r="G71" s="94">
        <f t="shared" si="7"/>
        <v>3.8704766990123005</v>
      </c>
      <c r="I71" s="122"/>
      <c r="J71" s="122"/>
    </row>
    <row r="72" spans="2:12" s="4" customFormat="1" x14ac:dyDescent="0.2">
      <c r="B72" s="82"/>
      <c r="C72" s="94"/>
      <c r="D72" s="94"/>
      <c r="E72" s="95"/>
      <c r="F72" s="94">
        <v>108</v>
      </c>
      <c r="G72" s="94">
        <f t="shared" si="7"/>
        <v>3.9523530719653803</v>
      </c>
    </row>
    <row r="73" spans="2:12" s="4" customFormat="1" x14ac:dyDescent="0.2">
      <c r="B73" s="82"/>
      <c r="C73" s="94"/>
      <c r="D73" s="94"/>
      <c r="E73" s="95"/>
      <c r="F73" s="94">
        <v>110</v>
      </c>
      <c r="G73" s="94">
        <f t="shared" si="7"/>
        <v>4.0279451842539515</v>
      </c>
    </row>
    <row r="74" spans="2:12" s="4" customFormat="1" x14ac:dyDescent="0.2">
      <c r="B74" s="82"/>
      <c r="C74" s="94"/>
      <c r="D74" s="94"/>
      <c r="E74" s="95"/>
      <c r="F74" s="94">
        <v>112</v>
      </c>
      <c r="G74" s="94">
        <f t="shared" si="7"/>
        <v>4.0971431849690934</v>
      </c>
    </row>
    <row r="75" spans="2:12" s="4" customFormat="1" x14ac:dyDescent="0.2">
      <c r="B75" s="82"/>
      <c r="C75" s="94"/>
      <c r="D75" s="94"/>
      <c r="E75" s="95"/>
      <c r="F75" s="94">
        <v>114</v>
      </c>
      <c r="G75" s="94">
        <f t="shared" si="7"/>
        <v>4.1600219837776109</v>
      </c>
    </row>
    <row r="76" spans="2:12" s="4" customFormat="1" x14ac:dyDescent="0.2">
      <c r="B76" s="82"/>
      <c r="C76" s="94"/>
      <c r="D76" s="94"/>
      <c r="E76" s="95"/>
      <c r="F76" s="94">
        <v>116</v>
      </c>
      <c r="G76" s="94">
        <f t="shared" si="7"/>
        <v>4.2167943512702015</v>
      </c>
    </row>
    <row r="77" spans="2:12" s="4" customFormat="1" x14ac:dyDescent="0.2">
      <c r="B77" s="82"/>
      <c r="C77" s="94"/>
      <c r="D77" s="94"/>
      <c r="E77" s="95"/>
      <c r="F77" s="94">
        <v>118</v>
      </c>
      <c r="G77" s="94">
        <f t="shared" si="7"/>
        <v>4.2677700407153507</v>
      </c>
    </row>
    <row r="78" spans="2:12" s="4" customFormat="1" x14ac:dyDescent="0.2">
      <c r="B78" s="82"/>
      <c r="C78" s="94"/>
      <c r="D78" s="94"/>
      <c r="E78" s="95"/>
      <c r="F78" s="94">
        <v>120</v>
      </c>
      <c r="G78" s="94">
        <f t="shared" si="7"/>
        <v>4.3133217024157906</v>
      </c>
    </row>
    <row r="79" spans="2:12" s="4" customFormat="1" x14ac:dyDescent="0.2">
      <c r="B79" s="82"/>
      <c r="C79" s="94"/>
      <c r="D79" s="94"/>
      <c r="E79" s="95"/>
      <c r="F79" s="94">
        <v>122</v>
      </c>
      <c r="G79" s="94">
        <f t="shared" si="7"/>
        <v>4.3538575320778197</v>
      </c>
    </row>
    <row r="80" spans="2:12" s="4" customFormat="1" x14ac:dyDescent="0.2">
      <c r="B80" s="82"/>
      <c r="C80" s="94"/>
      <c r="D80" s="94"/>
      <c r="E80" s="95"/>
      <c r="F80" s="94">
        <v>124</v>
      </c>
      <c r="G80" s="94">
        <f t="shared" si="7"/>
        <v>4.3898001008063758</v>
      </c>
    </row>
    <row r="81" spans="2:7" s="4" customFormat="1" ht="13.5" customHeight="1" x14ac:dyDescent="0.2">
      <c r="B81" s="82"/>
      <c r="C81" s="94"/>
      <c r="D81" s="94"/>
      <c r="E81" s="95"/>
      <c r="F81" s="94">
        <v>126</v>
      </c>
      <c r="G81" s="94">
        <f t="shared" si="7"/>
        <v>4.4215705659316509</v>
      </c>
    </row>
    <row r="82" spans="2:7" s="4" customFormat="1" x14ac:dyDescent="0.2">
      <c r="B82" s="82"/>
      <c r="C82" s="94"/>
      <c r="D82" s="94"/>
      <c r="E82" s="95"/>
      <c r="F82" s="94">
        <v>128</v>
      </c>
      <c r="G82" s="94">
        <f t="shared" si="7"/>
        <v>4.4495773796594582</v>
      </c>
    </row>
    <row r="83" spans="2:7" s="4" customFormat="1" x14ac:dyDescent="0.2">
      <c r="B83" s="82"/>
      <c r="C83" s="94"/>
      <c r="D83" s="94"/>
      <c r="E83" s="95"/>
      <c r="F83" s="94">
        <v>130</v>
      </c>
      <c r="G83" s="94">
        <f t="shared" si="7"/>
        <v>4.4742086340206324</v>
      </c>
    </row>
    <row r="84" spans="2:7" s="4" customFormat="1" x14ac:dyDescent="0.2">
      <c r="B84" s="10"/>
      <c r="C84" s="94"/>
      <c r="D84" s="94"/>
      <c r="E84" s="95"/>
      <c r="F84" s="94">
        <v>132</v>
      </c>
      <c r="G84" s="94">
        <f t="shared" si="7"/>
        <v>4.4958272600543658</v>
      </c>
    </row>
    <row r="85" spans="2:7" s="4" customFormat="1" x14ac:dyDescent="0.2">
      <c r="B85" s="10"/>
      <c r="C85" s="10"/>
      <c r="D85" s="94"/>
      <c r="E85" s="95"/>
      <c r="F85" s="94">
        <v>134</v>
      </c>
      <c r="G85" s="94">
        <f t="shared" si="7"/>
        <v>4.5147684052863708</v>
      </c>
    </row>
    <row r="86" spans="2:7" s="4" customFormat="1" x14ac:dyDescent="0.2">
      <c r="B86" s="10"/>
      <c r="C86" s="10"/>
      <c r="D86" s="94"/>
      <c r="E86" s="95"/>
      <c r="F86" s="94">
        <v>136</v>
      </c>
      <c r="G86" s="94">
        <f t="shared" si="7"/>
        <v>4.5313384263085768</v>
      </c>
    </row>
    <row r="87" spans="2:7" s="4" customFormat="1" x14ac:dyDescent="0.2">
      <c r="B87" s="10"/>
      <c r="C87" s="10"/>
      <c r="D87" s="10"/>
      <c r="E87" s="10"/>
      <c r="F87" s="94">
        <v>138</v>
      </c>
      <c r="G87" s="94">
        <f t="shared" si="7"/>
        <v>4.5458150408049169</v>
      </c>
    </row>
    <row r="88" spans="2:7" s="4" customFormat="1" x14ac:dyDescent="0.2">
      <c r="B88" s="10"/>
      <c r="C88" s="10"/>
      <c r="D88" s="10"/>
      <c r="E88" s="10"/>
      <c r="F88" s="94">
        <v>140</v>
      </c>
      <c r="G88" s="94">
        <f t="shared" si="7"/>
        <v>4.5584482795252201</v>
      </c>
    </row>
    <row r="89" spans="2:7" s="4" customFormat="1" x14ac:dyDescent="0.2">
      <c r="B89" s="10"/>
      <c r="C89" s="10"/>
      <c r="D89" s="10"/>
      <c r="E89" s="10"/>
      <c r="F89" s="94">
        <v>142</v>
      </c>
      <c r="G89" s="94">
        <f t="shared" si="7"/>
        <v>4.5694619609889031</v>
      </c>
    </row>
    <row r="90" spans="2:7" s="4" customFormat="1" x14ac:dyDescent="0.2">
      <c r="B90" s="10"/>
      <c r="C90" s="10"/>
      <c r="D90" s="10"/>
      <c r="E90" s="10"/>
      <c r="F90" s="94">
        <v>144</v>
      </c>
      <c r="G90" s="94">
        <f t="shared" si="7"/>
        <v>4.5790554798422356</v>
      </c>
    </row>
    <row r="91" spans="2:7" s="4" customFormat="1" x14ac:dyDescent="0.2">
      <c r="B91" s="10"/>
      <c r="C91" s="10"/>
      <c r="D91" s="10"/>
      <c r="E91" s="10"/>
      <c r="F91" s="94">
        <v>146</v>
      </c>
      <c r="G91" s="94">
        <f t="shared" si="7"/>
        <v>4.5874057547843829</v>
      </c>
    </row>
    <row r="92" spans="2:7" s="4" customFormat="1" ht="13.5" customHeight="1" x14ac:dyDescent="0.2">
      <c r="B92" s="10"/>
      <c r="C92" s="10"/>
      <c r="D92" s="10"/>
      <c r="E92" s="10"/>
      <c r="F92" s="94">
        <v>148</v>
      </c>
      <c r="G92" s="94">
        <f t="shared" si="7"/>
        <v>4.5946692254032513</v>
      </c>
    </row>
    <row r="93" spans="2:7" s="4" customFormat="1" x14ac:dyDescent="0.2">
      <c r="B93" s="10"/>
      <c r="C93" s="10"/>
      <c r="D93" s="10"/>
      <c r="E93" s="10"/>
      <c r="F93" s="94">
        <v>150</v>
      </c>
      <c r="G93" s="94">
        <f t="shared" si="7"/>
        <v>4.6009838209018188</v>
      </c>
    </row>
    <row r="94" spans="2:7" s="4" customFormat="1" x14ac:dyDescent="0.2">
      <c r="B94" s="10"/>
      <c r="C94" s="10"/>
      <c r="D94" s="10"/>
      <c r="E94" s="10"/>
      <c r="F94" s="94">
        <v>152</v>
      </c>
      <c r="G94" s="94">
        <f t="shared" si="7"/>
        <v>4.6064708492898827</v>
      </c>
    </row>
    <row r="95" spans="2:7" s="4" customFormat="1" x14ac:dyDescent="0.2">
      <c r="B95" s="10"/>
      <c r="C95" s="10"/>
      <c r="D95" s="10"/>
      <c r="E95" s="10"/>
      <c r="F95" s="94">
        <v>154</v>
      </c>
      <c r="G95" s="94">
        <f t="shared" si="7"/>
        <v>4.6112367747443201</v>
      </c>
    </row>
    <row r="96" spans="2:7" s="4" customFormat="1" x14ac:dyDescent="0.2">
      <c r="B96" s="10"/>
      <c r="C96" s="10"/>
      <c r="D96" s="10"/>
      <c r="E96" s="10"/>
      <c r="F96" s="94">
        <v>156</v>
      </c>
      <c r="G96" s="94">
        <f t="shared" si="7"/>
        <v>4.615374864869584</v>
      </c>
    </row>
    <row r="97" spans="2:12" s="4" customFormat="1" x14ac:dyDescent="0.2">
      <c r="B97" s="10"/>
      <c r="C97" s="10"/>
      <c r="D97" s="10"/>
      <c r="E97" s="10"/>
      <c r="F97" s="94">
        <v>158</v>
      </c>
      <c r="G97" s="94">
        <f t="shared" si="7"/>
        <v>4.6189666996621304</v>
      </c>
    </row>
    <row r="98" spans="2:12" s="4" customFormat="1" x14ac:dyDescent="0.2">
      <c r="B98" s="10"/>
      <c r="C98" s="10"/>
      <c r="D98" s="10"/>
      <c r="E98" s="10"/>
      <c r="F98" s="94">
        <v>160</v>
      </c>
      <c r="G98" s="94">
        <f t="shared" si="7"/>
        <v>4.6220835410305785</v>
      </c>
    </row>
    <row r="99" spans="2:12" s="4" customFormat="1" x14ac:dyDescent="0.2">
      <c r="B99" s="10"/>
      <c r="C99" s="10"/>
      <c r="D99" s="10"/>
      <c r="E99" s="10"/>
      <c r="F99" s="94">
        <v>162</v>
      </c>
      <c r="G99" s="94">
        <f t="shared" si="7"/>
        <v>4.6247875664932634</v>
      </c>
    </row>
    <row r="100" spans="2:12" s="4" customFormat="1" x14ac:dyDescent="0.2">
      <c r="B100" s="10"/>
      <c r="C100" s="10"/>
      <c r="D100" s="10"/>
      <c r="E100" s="10"/>
      <c r="F100" s="94">
        <v>164</v>
      </c>
      <c r="G100" s="94">
        <f t="shared" si="7"/>
        <v>4.6271329737534863</v>
      </c>
    </row>
    <row r="101" spans="2:12" s="4" customFormat="1" x14ac:dyDescent="0.2">
      <c r="B101" s="10"/>
      <c r="C101" s="10"/>
      <c r="D101" s="10"/>
      <c r="E101" s="10"/>
      <c r="F101" s="94">
        <v>166</v>
      </c>
      <c r="G101" s="94">
        <f t="shared" si="7"/>
        <v>4.6291669646953135</v>
      </c>
    </row>
    <row r="102" spans="2:12" s="4" customFormat="1" ht="13.5" customHeight="1" x14ac:dyDescent="0.2">
      <c r="B102" s="10"/>
      <c r="C102" s="10"/>
      <c r="D102" s="10"/>
      <c r="E102" s="10"/>
      <c r="F102" s="94">
        <v>168</v>
      </c>
      <c r="G102" s="94">
        <f t="shared" si="7"/>
        <v>4.6309306182980023</v>
      </c>
    </row>
    <row r="103" spans="2:12" x14ac:dyDescent="0.2">
      <c r="B103" s="10"/>
      <c r="C103" s="10"/>
      <c r="D103" s="10"/>
      <c r="E103" s="10"/>
      <c r="F103" s="94">
        <v>170</v>
      </c>
      <c r="G103" s="94">
        <f t="shared" si="7"/>
        <v>4.6324596622989631</v>
      </c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W73"/>
  <sheetViews>
    <sheetView topLeftCell="A7" zoomScaleNormal="100" workbookViewId="0">
      <selection activeCell="D6" sqref="D6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'1257 (2)'!D8</f>
        <v>2.5748667485902543E-2</v>
      </c>
      <c r="E2" s="2">
        <f>SUM(D3:D5)</f>
        <v>212.78880115778566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'1257 (2)'!D11</f>
        <v>1.9290573346759605</v>
      </c>
      <c r="D3" s="10">
        <f>$D$2*G43</f>
        <v>133.66841125606393</v>
      </c>
      <c r="E3" s="10"/>
      <c r="F3" s="11">
        <f>SQRT(D3)</f>
        <v>11.561505579121775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'1257 (2)'!D12</f>
        <v>5.095485246347041E-2</v>
      </c>
      <c r="D4" s="10">
        <f>$D$2*H44</f>
        <v>1.3865816375555743E-3</v>
      </c>
      <c r="E4" s="10"/>
      <c r="F4" s="11">
        <f>SQRT(D4)</f>
        <v>3.7236831733588376E-2</v>
      </c>
      <c r="H4" s="12" t="s">
        <v>9</v>
      </c>
      <c r="I4" s="12">
        <v>100000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'1257 (2)'!D13</f>
        <v>82.724309222656814</v>
      </c>
      <c r="D5" s="10">
        <f>$D$2*I45</f>
        <v>79.11900332008419</v>
      </c>
      <c r="E5" s="10"/>
      <c r="F5" s="11">
        <f>SQRT(D5)</f>
        <v>8.8948863579072324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1.9290573346759606E-5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5.0954852463470413E-7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8.2724309222656815E-4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'1257 (2)'!B18</f>
        <v>26.666666666802485</v>
      </c>
      <c r="B22" s="4">
        <f>Q_LA($C$3,$C$4,$C$5,A22,$I$7)</f>
        <v>5.0128964383277647E-64</v>
      </c>
      <c r="C22" s="35">
        <f>Q_Lumax($C$3,$C$4,$C$5,A22,$I$8)</f>
        <v>-1.8832128010428044E-62</v>
      </c>
      <c r="D22" s="36">
        <f>Q_Llameda($C$3,$C$4,$C$5,A22,$I$9)</f>
        <v>-1.7093159065982055E-65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'1257 (2)'!B19</f>
        <v>28.666666666686069</v>
      </c>
      <c r="B23" s="4">
        <f t="shared" ref="B23:B27" si="0">Q_LA($C$3,$C$4,$C$5,A23,$I$7)</f>
        <v>2.9008169229963072E-55</v>
      </c>
      <c r="C23" s="35">
        <f t="shared" ref="C23:C27" si="1">Q_Lumax($C$3,$C$4,$C$5,A23,$I$8)</f>
        <v>-1.0905080597768362E-53</v>
      </c>
      <c r="D23" s="36">
        <f t="shared" ref="D23:D27" si="2">Q_Llameda($C$3,$C$4,$C$5,A23,$I$9)</f>
        <v>-1.0265337339690169E-56</v>
      </c>
      <c r="E23" s="37">
        <v>2</v>
      </c>
      <c r="F23" s="40">
        <v>1</v>
      </c>
      <c r="G23" s="42">
        <v>4.75577479190861E-64</v>
      </c>
      <c r="H23" s="42">
        <v>2.7746086969922778E-55</v>
      </c>
      <c r="I23" s="42">
        <v>6.0977096240601833E-14</v>
      </c>
      <c r="J23" s="42">
        <v>1.2432093378378454E-2</v>
      </c>
      <c r="K23" s="42">
        <v>8.5134463472785454E-3</v>
      </c>
      <c r="L23" s="42">
        <v>2.8098119029416842E-2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'1257 (2)'!B20</f>
        <v>47.166666666744277</v>
      </c>
      <c r="B24" s="4">
        <f t="shared" si="0"/>
        <v>6.1519528745485063E-14</v>
      </c>
      <c r="C24" s="35">
        <f t="shared" si="1"/>
        <v>-2.3012012241696345E-12</v>
      </c>
      <c r="D24" s="36">
        <f t="shared" si="2"/>
        <v>-3.2957766998913666E-15</v>
      </c>
      <c r="E24" s="37">
        <v>3</v>
      </c>
      <c r="F24" s="43">
        <v>2</v>
      </c>
      <c r="G24" s="42">
        <v>-1.6912462576887098E-62</v>
      </c>
      <c r="H24" s="42">
        <v>-9.9638024165981464E-54</v>
      </c>
      <c r="I24" s="42">
        <v>-2.2630693226783916E-12</v>
      </c>
      <c r="J24" s="42">
        <v>-0.39339069934969834</v>
      </c>
      <c r="K24" s="42">
        <v>10.480286908759116</v>
      </c>
      <c r="L24" s="42">
        <v>18.014082129470495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'1257 (2)'!B21</f>
        <v>71.25</v>
      </c>
      <c r="B25" s="4">
        <f t="shared" si="0"/>
        <v>1.2440919590676119E-2</v>
      </c>
      <c r="C25" s="35">
        <f t="shared" si="1"/>
        <v>-0.39382137939196266</v>
      </c>
      <c r="D25" s="36">
        <f t="shared" si="2"/>
        <v>-1.7486406407690959E-3</v>
      </c>
      <c r="E25" s="37">
        <v>4</v>
      </c>
      <c r="F25" s="43">
        <v>3</v>
      </c>
      <c r="G25" s="42">
        <v>-1.5155477162180999E-65</v>
      </c>
      <c r="H25" s="42">
        <v>-9.2680372765874381E-57</v>
      </c>
      <c r="I25" s="42">
        <v>-3.2246109759485638E-15</v>
      </c>
      <c r="J25" s="42">
        <v>-1.7445441096866053E-3</v>
      </c>
      <c r="K25" s="42">
        <v>-4.9565366810155165E-2</v>
      </c>
      <c r="L25" s="42">
        <v>-4.7840176186500452E-2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'1257 (2)'!B22</f>
        <v>93.500000000058208</v>
      </c>
      <c r="B26" s="4">
        <f t="shared" si="0"/>
        <v>8.5085056733195368E-3</v>
      </c>
      <c r="C26" s="35">
        <f t="shared" si="1"/>
        <v>10.481851017798911</v>
      </c>
      <c r="D26" s="36">
        <f t="shared" si="2"/>
        <v>-4.9564954134235194E-2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'1257 (2)'!B23</f>
        <v>101.91666666674428</v>
      </c>
      <c r="B27" s="4">
        <f t="shared" si="0"/>
        <v>2.8103370222591986E-2</v>
      </c>
      <c r="C27" s="35">
        <f t="shared" si="1"/>
        <v>18.016094483803386</v>
      </c>
      <c r="D27" s="36">
        <f t="shared" si="2"/>
        <v>-4.7832477723067458E-2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/>
      <c r="B28" s="4"/>
      <c r="C28" s="35"/>
      <c r="D28" s="36"/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/>
      <c r="B29" s="4"/>
      <c r="C29" s="35"/>
      <c r="D29" s="36"/>
      <c r="E29" s="37">
        <v>8</v>
      </c>
    </row>
    <row r="30" spans="1:49" ht="13.5" thickBot="1" x14ac:dyDescent="0.25">
      <c r="A30" s="34"/>
      <c r="B30" s="4"/>
      <c r="C30" s="35"/>
      <c r="D30" s="36"/>
      <c r="E30" s="37">
        <v>9</v>
      </c>
      <c r="J30" s="48"/>
      <c r="K30" s="49"/>
      <c r="L30" s="49"/>
    </row>
    <row r="31" spans="1:49" ht="13.5" thickBot="1" x14ac:dyDescent="0.25">
      <c r="A31" s="34"/>
      <c r="B31" s="4"/>
      <c r="C31" s="35"/>
      <c r="D31" s="36"/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/>
      <c r="B32" s="4"/>
      <c r="C32" s="35"/>
      <c r="D32" s="36"/>
      <c r="E32" s="37">
        <v>11</v>
      </c>
      <c r="F32" s="50"/>
      <c r="G32" s="164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/>
      <c r="B33" s="4"/>
      <c r="C33" s="35"/>
      <c r="D33" s="36"/>
      <c r="E33" s="37">
        <v>12</v>
      </c>
      <c r="F33" s="52">
        <v>1</v>
      </c>
      <c r="G33" s="53">
        <f t="array" ref="G33:I35">MMULT(G23:L25,B22:D27)</f>
        <v>1.0167552222516629E-3</v>
      </c>
      <c r="H33" s="54">
        <v>0.590559019348323</v>
      </c>
      <c r="I33" s="55">
        <v>-1.7877104939930809E-3</v>
      </c>
      <c r="J33" s="48"/>
      <c r="K33" s="48"/>
      <c r="L33" s="48"/>
    </row>
    <row r="34" spans="1:12" ht="13.5" thickBot="1" x14ac:dyDescent="0.25">
      <c r="A34" s="34"/>
      <c r="B34" s="4"/>
      <c r="C34" s="35"/>
      <c r="D34" s="36"/>
      <c r="E34" s="37">
        <v>13</v>
      </c>
      <c r="F34" s="62">
        <v>2</v>
      </c>
      <c r="G34" s="56">
        <v>0.59053385786755153</v>
      </c>
      <c r="H34" s="57">
        <v>434.55113735279372</v>
      </c>
      <c r="I34" s="58">
        <v>-1.3804252231410927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-1.7879011205786189E-3</v>
      </c>
      <c r="H35" s="60">
        <v>-1.3807428860767073</v>
      </c>
      <c r="I35" s="61">
        <v>4.7480698750301011E-3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5191.2749010894531</v>
      </c>
      <c r="H43" s="73">
        <v>-11.079483440882097</v>
      </c>
      <c r="I43" s="74">
        <v>-1266.5992585564215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-11.085599250900863</v>
      </c>
      <c r="H44" s="76">
        <v>5.3850617252901772E-2</v>
      </c>
      <c r="I44" s="77">
        <v>11.482330643720692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-1268.9105782485885</v>
      </c>
      <c r="H45" s="76">
        <v>11.487791304472447</v>
      </c>
      <c r="I45" s="78">
        <v>3072.7416618122875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topLeftCell="B4" zoomScale="80" zoomScaleNormal="80" workbookViewId="0">
      <selection activeCell="D13" sqref="D13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5.2703835548255977</v>
      </c>
      <c r="D6" s="126">
        <f>SUM(E18:E86)</f>
        <v>0.12874333730481341</v>
      </c>
      <c r="E6" s="111">
        <f>$C$6-$D$6</f>
        <v>5.1416402175207843</v>
      </c>
      <c r="F6" s="112">
        <f>$E$6/$C$6</f>
        <v>0.97557230209802559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0.98771063682539406</v>
      </c>
      <c r="D8" s="2">
        <f>D6/(COUNT(E18:E51)-COUNT(D11:D13)-1)</f>
        <v>2.5748667460962681E-2</v>
      </c>
      <c r="E8" s="2">
        <f>(E6/1)</f>
        <v>5.1416402175207843</v>
      </c>
      <c r="F8" s="2">
        <f>E8/D8</f>
        <v>199.68568180531975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1.9290425421628323</v>
      </c>
      <c r="E11" s="163">
        <f>'ERROS_1257 (3)'!F3</f>
        <v>0.17074407507897271</v>
      </c>
      <c r="F11" s="2">
        <f>(5.5-D11)/5.5</f>
        <v>0.64926499233403046</v>
      </c>
      <c r="G11" s="2">
        <f>('1257'!D11-D11)/'1257'!D11</f>
        <v>0.14420446088088781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5.0954947589573876E-2</v>
      </c>
      <c r="E12" s="163">
        <f>'ERROS_1257 (3)'!F4</f>
        <v>1.4566203955614417E-2</v>
      </c>
      <c r="F12" s="2">
        <f>('1239'!$D12-D12)/'1239'!$D12</f>
        <v>0.85228673503172969</v>
      </c>
      <c r="G12" s="2">
        <f>('1257'!D12-D12)/'1257'!D12</f>
        <v>0.61025792346121366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56.057594526227625</v>
      </c>
      <c r="E13" s="163">
        <f>'ERROS_1257 (3)'!F5</f>
        <v>5.3124452638923927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8">
        <f>'1257 (2)'!B18-'1257 (2)'!$B$18</f>
        <v>0</v>
      </c>
      <c r="C18" s="130">
        <v>2.7133333333333334</v>
      </c>
      <c r="D18" s="132">
        <f>$C$18+$D$11*EXP(-EXP(($D$12*EXP(1))/$D$11*($D$13-B18)+1))</f>
        <v>2.7133333333333334</v>
      </c>
      <c r="E18" s="133">
        <f t="shared" ref="E18:E26" si="0">(C18-D18)^2</f>
        <v>0</v>
      </c>
      <c r="F18" s="94">
        <v>0</v>
      </c>
      <c r="G18" s="94">
        <f t="shared" ref="G18:G31" si="1">$C$18+$D$11*EXP(-EXP(($D$12*EXP(1))/$D$11*($D$13-F18)+1))</f>
        <v>2.7133333333333334</v>
      </c>
      <c r="H18" s="138">
        <v>71.25</v>
      </c>
      <c r="I18" s="95"/>
      <c r="K18" s="4"/>
      <c r="L18" s="4"/>
      <c r="M18" s="4"/>
      <c r="N18" s="122"/>
      <c r="O18" s="122"/>
    </row>
    <row r="19" spans="2:15" ht="13.5" customHeight="1" x14ac:dyDescent="0.2">
      <c r="B19" s="138">
        <f>'1257 (2)'!B19-'1257 (2)'!$B$18</f>
        <v>1.9999999998835847</v>
      </c>
      <c r="C19" s="130">
        <v>2.6200000000000006</v>
      </c>
      <c r="D19" s="132">
        <f t="shared" ref="D19:D25" si="2">$C$18+$D$11*EXP(-EXP(($D$12*EXP(1))/$D$11*($D$13-B19)+1))</f>
        <v>2.7133333333333334</v>
      </c>
      <c r="E19" s="133">
        <f t="shared" si="0"/>
        <v>8.7111111111110168E-3</v>
      </c>
      <c r="F19" s="94">
        <v>1</v>
      </c>
      <c r="G19" s="94">
        <f t="shared" si="1"/>
        <v>2.7133333333333334</v>
      </c>
      <c r="H19" s="138">
        <v>93.500000000058208</v>
      </c>
      <c r="I19" s="95"/>
      <c r="J19" s="95"/>
      <c r="K19" s="150"/>
      <c r="L19" s="150"/>
      <c r="M19" s="150"/>
      <c r="N19" s="4"/>
    </row>
    <row r="20" spans="2:15" x14ac:dyDescent="0.2">
      <c r="B20" s="138">
        <f>'1257 (2)'!B20-'1257 (2)'!$B$18</f>
        <v>20.499999999941792</v>
      </c>
      <c r="C20" s="130">
        <v>2.6</v>
      </c>
      <c r="D20" s="132">
        <f t="shared" si="2"/>
        <v>2.7133333333333347</v>
      </c>
      <c r="E20" s="133">
        <f t="shared" si="0"/>
        <v>1.2844444444444736E-2</v>
      </c>
      <c r="F20" s="94">
        <v>2</v>
      </c>
      <c r="G20" s="94">
        <f t="shared" si="1"/>
        <v>2.7133333333333334</v>
      </c>
      <c r="H20" s="138">
        <v>101.91666666674428</v>
      </c>
      <c r="I20" s="95"/>
      <c r="J20" s="95"/>
      <c r="K20" s="147"/>
      <c r="L20" s="147"/>
      <c r="M20" s="147"/>
      <c r="N20" s="122"/>
    </row>
    <row r="21" spans="2:15" x14ac:dyDescent="0.2">
      <c r="B21" s="138">
        <f>'1257 (2)'!B21-'1257 (2)'!$B$18</f>
        <v>44.583333333197515</v>
      </c>
      <c r="C21" s="130">
        <v>2.85</v>
      </c>
      <c r="D21" s="132">
        <f t="shared" si="2"/>
        <v>2.7172644737156344</v>
      </c>
      <c r="E21" s="133">
        <f t="shared" si="0"/>
        <v>1.7618719937987536E-2</v>
      </c>
      <c r="F21" s="94">
        <v>3</v>
      </c>
      <c r="G21" s="94">
        <f t="shared" si="1"/>
        <v>2.7133333333333334</v>
      </c>
      <c r="H21" s="138">
        <v>118.5</v>
      </c>
      <c r="I21" s="95"/>
      <c r="J21" s="95"/>
      <c r="K21" s="147"/>
      <c r="L21" s="124"/>
      <c r="M21" s="124"/>
      <c r="N21" s="122"/>
    </row>
    <row r="22" spans="2:15" x14ac:dyDescent="0.2">
      <c r="B22" s="138">
        <f>'1257 (2)'!B22-'1257 (2)'!$B$18</f>
        <v>66.833333333255723</v>
      </c>
      <c r="C22" s="130">
        <v>3.2416666666666671</v>
      </c>
      <c r="D22" s="132">
        <f t="shared" si="2"/>
        <v>3.2638501032464839</v>
      </c>
      <c r="E22" s="133">
        <f t="shared" si="0"/>
        <v>4.9210485849075433E-4</v>
      </c>
      <c r="F22" s="94">
        <v>4</v>
      </c>
      <c r="G22" s="94">
        <f t="shared" si="1"/>
        <v>2.7133333333333334</v>
      </c>
      <c r="H22" s="138">
        <v>125.83333333331393</v>
      </c>
      <c r="I22" s="95"/>
      <c r="J22" s="95"/>
      <c r="K22" s="148"/>
      <c r="L22" s="124"/>
      <c r="M22" s="124"/>
      <c r="N22" s="4"/>
    </row>
    <row r="23" spans="2:15" x14ac:dyDescent="0.2">
      <c r="B23" s="138">
        <f>'1257 (2)'!B23-'1257 (2)'!$B$18</f>
        <v>75.249999999941792</v>
      </c>
      <c r="C23" s="130">
        <v>3.7333333333333329</v>
      </c>
      <c r="D23" s="132">
        <f t="shared" si="2"/>
        <v>3.6855613599319748</v>
      </c>
      <c r="E23" s="133">
        <f t="shared" si="0"/>
        <v>2.2821614426600744E-3</v>
      </c>
      <c r="F23" s="94">
        <v>5</v>
      </c>
      <c r="G23" s="94">
        <f t="shared" si="1"/>
        <v>2.7133333333333334</v>
      </c>
      <c r="H23" s="138">
        <v>165.25000000011642</v>
      </c>
      <c r="I23" s="95"/>
      <c r="J23" s="95"/>
      <c r="K23" s="148"/>
      <c r="L23" s="124"/>
      <c r="M23" s="124"/>
      <c r="N23" s="4"/>
    </row>
    <row r="24" spans="2:15" x14ac:dyDescent="0.2">
      <c r="B24" s="138">
        <f>'1257 (2)'!B24-'1257 (2)'!$B$18</f>
        <v>91.833333333197515</v>
      </c>
      <c r="C24" s="130">
        <v>4.083333333333333</v>
      </c>
      <c r="D24" s="132">
        <f t="shared" si="2"/>
        <v>4.2796480432876347</v>
      </c>
      <c r="E24" s="133">
        <f t="shared" si="0"/>
        <v>3.8539465344441588E-2</v>
      </c>
      <c r="F24" s="94">
        <v>10</v>
      </c>
      <c r="G24" s="94">
        <f t="shared" si="1"/>
        <v>2.7133333333333334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38">
        <f>'1257 (2)'!B25-'1257 (2)'!$B$18</f>
        <v>99.166666666511446</v>
      </c>
      <c r="C25" s="130">
        <v>4.6333333333333329</v>
      </c>
      <c r="D25" s="132">
        <f t="shared" si="2"/>
        <v>4.419066131047801</v>
      </c>
      <c r="E25" s="133">
        <f t="shared" si="0"/>
        <v>4.5910433975269033E-2</v>
      </c>
      <c r="F25" s="94">
        <v>11</v>
      </c>
      <c r="G25" s="94">
        <f t="shared" si="1"/>
        <v>2.7133333333333334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38">
        <f>'1257 (2)'!B26-'1257 (2)'!$B$18</f>
        <v>138.58333333331393</v>
      </c>
      <c r="C26" s="130">
        <v>4.58</v>
      </c>
      <c r="D26" s="132">
        <f>$C$18+$D$11*EXP(-EXP(($D$12*EXP(1))/$D$11*($D$13-B26)+1))</f>
        <v>4.6284241281842915</v>
      </c>
      <c r="E26" s="133">
        <f t="shared" si="0"/>
        <v>2.344896190408687E-3</v>
      </c>
      <c r="F26" s="94">
        <v>12</v>
      </c>
      <c r="G26" s="94">
        <f t="shared" si="1"/>
        <v>2.7133333333333334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38"/>
      <c r="C27" s="130"/>
      <c r="D27" s="132"/>
      <c r="E27" s="133"/>
      <c r="F27" s="94">
        <v>13</v>
      </c>
      <c r="G27" s="94">
        <f t="shared" si="1"/>
        <v>2.7133333333333334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38"/>
      <c r="C28" s="130"/>
      <c r="D28" s="132"/>
      <c r="E28" s="133"/>
      <c r="F28" s="94">
        <v>14</v>
      </c>
      <c r="G28" s="94">
        <f t="shared" si="1"/>
        <v>2.7133333333333334</v>
      </c>
      <c r="H28" s="95"/>
      <c r="I28" s="95"/>
      <c r="J28" s="122"/>
      <c r="K28" s="122"/>
      <c r="L28" s="122"/>
    </row>
    <row r="29" spans="2:15" x14ac:dyDescent="0.2">
      <c r="B29" s="138"/>
      <c r="C29" s="130"/>
      <c r="D29" s="132"/>
      <c r="E29" s="133"/>
      <c r="F29" s="94">
        <v>15</v>
      </c>
      <c r="G29" s="94">
        <f t="shared" si="1"/>
        <v>2.7133333333333334</v>
      </c>
      <c r="H29" s="95"/>
      <c r="I29" s="95"/>
      <c r="J29" s="122"/>
      <c r="K29" s="122"/>
      <c r="L29" s="122"/>
    </row>
    <row r="30" spans="2:15" x14ac:dyDescent="0.2">
      <c r="B30" s="138"/>
      <c r="C30" s="130"/>
      <c r="D30" s="132"/>
      <c r="E30" s="133"/>
      <c r="F30" s="94">
        <v>20</v>
      </c>
      <c r="G30" s="94">
        <f t="shared" si="1"/>
        <v>2.7133333333333338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26</v>
      </c>
      <c r="G31" s="94">
        <f t="shared" si="1"/>
        <v>2.7133333334500391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28</v>
      </c>
      <c r="G32" s="94">
        <f t="shared" ref="G32:G95" si="3">$C$18+$D$11*EXP(-EXP(($D$12*EXP(1))/$D$11*($D$13-F32)+1))</f>
        <v>2.7133333360496916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30</v>
      </c>
      <c r="G33" s="94">
        <f t="shared" si="3"/>
        <v>2.7133333748318749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32</v>
      </c>
      <c r="G34" s="94">
        <f t="shared" si="3"/>
        <v>2.7133337735726335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34</v>
      </c>
      <c r="G35" s="94">
        <f t="shared" si="3"/>
        <v>2.7133367385345246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36</v>
      </c>
      <c r="G36" s="94">
        <f t="shared" si="3"/>
        <v>2.7133533664375586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38</v>
      </c>
      <c r="G37" s="94">
        <f t="shared" si="3"/>
        <v>2.7134263163420456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40</v>
      </c>
      <c r="G38" s="94">
        <f t="shared" si="3"/>
        <v>2.7136847970110023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42</v>
      </c>
      <c r="G39" s="94">
        <f t="shared" si="3"/>
        <v>2.7144453421244354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44</v>
      </c>
      <c r="G40" s="94">
        <f t="shared" si="3"/>
        <v>2.7163492582108852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46</v>
      </c>
      <c r="G41" s="94">
        <f t="shared" si="3"/>
        <v>2.7204909531952435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48</v>
      </c>
      <c r="G42" s="94">
        <f t="shared" si="3"/>
        <v>2.7284656848104119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50</v>
      </c>
      <c r="G43" s="94">
        <f t="shared" si="3"/>
        <v>2.7422767986099985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52</v>
      </c>
      <c r="G44" s="94">
        <f t="shared" si="3"/>
        <v>2.7640930393523004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54</v>
      </c>
      <c r="G45" s="94">
        <f t="shared" si="3"/>
        <v>2.795908981752655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56</v>
      </c>
      <c r="G46" s="94">
        <f t="shared" si="3"/>
        <v>2.8392012037569172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58</v>
      </c>
      <c r="G47" s="94">
        <f t="shared" si="3"/>
        <v>2.8946715965010847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60</v>
      </c>
      <c r="G48" s="94">
        <f t="shared" si="3"/>
        <v>2.9621339762439129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62</v>
      </c>
      <c r="G49" s="94">
        <f t="shared" si="3"/>
        <v>3.0405524160041586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64</v>
      </c>
      <c r="G50" s="94">
        <f t="shared" si="3"/>
        <v>3.1282002836634253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66</v>
      </c>
      <c r="G51" s="94">
        <f t="shared" si="3"/>
        <v>3.2228886665239207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68</v>
      </c>
      <c r="G52" s="94">
        <f t="shared" si="3"/>
        <v>3.3222116968311735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70</v>
      </c>
      <c r="G53" s="94">
        <f t="shared" si="3"/>
        <v>3.423767873365319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72</v>
      </c>
      <c r="G54" s="94">
        <f t="shared" si="3"/>
        <v>3.5253330349380603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74</v>
      </c>
      <c r="G55" s="94">
        <f t="shared" si="3"/>
        <v>3.6249762394299379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76</v>
      </c>
      <c r="G56" s="94">
        <f t="shared" si="3"/>
        <v>3.7211213146068696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78</v>
      </c>
      <c r="G57" s="94">
        <f t="shared" si="3"/>
        <v>3.8125635432013896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80</v>
      </c>
      <c r="G58" s="94">
        <f t="shared" si="3"/>
        <v>3.8984535345596738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82</v>
      </c>
      <c r="G59" s="94">
        <f t="shared" si="3"/>
        <v>3.9782600907284316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84</v>
      </c>
      <c r="G60" s="94">
        <f t="shared" si="3"/>
        <v>4.0517220548786135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86</v>
      </c>
      <c r="G61" s="94">
        <f t="shared" si="3"/>
        <v>4.1187967077250223</v>
      </c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>
        <v>88</v>
      </c>
      <c r="G62" s="94">
        <f t="shared" si="3"/>
        <v>4.1796098799604362</v>
      </c>
      <c r="H62" s="122"/>
      <c r="I62" s="122"/>
      <c r="J62" s="122"/>
    </row>
    <row r="63" spans="2:11" x14ac:dyDescent="0.2">
      <c r="B63" s="122"/>
      <c r="C63" s="94"/>
      <c r="D63" s="94"/>
      <c r="E63" s="95"/>
      <c r="F63" s="94">
        <v>90</v>
      </c>
      <c r="G63" s="94">
        <f t="shared" si="3"/>
        <v>4.2344109053867358</v>
      </c>
      <c r="H63" s="122"/>
      <c r="I63" s="122"/>
      <c r="J63" s="122"/>
    </row>
    <row r="64" spans="2:11" x14ac:dyDescent="0.2">
      <c r="B64" s="122"/>
      <c r="C64" s="94"/>
      <c r="D64" s="94"/>
      <c r="E64" s="95"/>
      <c r="F64" s="94">
        <v>92</v>
      </c>
      <c r="G64" s="94">
        <f t="shared" si="3"/>
        <v>4.2835339697096151</v>
      </c>
      <c r="H64" s="122"/>
      <c r="I64" s="122"/>
      <c r="J64" s="122"/>
    </row>
    <row r="65" spans="2:12" x14ac:dyDescent="0.2">
      <c r="B65" s="122"/>
      <c r="C65" s="94"/>
      <c r="D65" s="94"/>
      <c r="E65" s="95"/>
      <c r="F65" s="94">
        <v>94</v>
      </c>
      <c r="G65" s="94">
        <f t="shared" si="3"/>
        <v>4.3273663064366659</v>
      </c>
      <c r="H65" s="122"/>
      <c r="I65" s="122"/>
      <c r="J65" s="122"/>
    </row>
    <row r="66" spans="2:12" x14ac:dyDescent="0.2">
      <c r="B66" s="122"/>
      <c r="C66" s="94"/>
      <c r="D66" s="94"/>
      <c r="E66" s="95"/>
      <c r="F66" s="94">
        <v>96</v>
      </c>
      <c r="G66" s="94">
        <f t="shared" si="3"/>
        <v>4.3663229838456408</v>
      </c>
      <c r="H66" s="122"/>
      <c r="I66" s="122"/>
      <c r="J66" s="122"/>
    </row>
    <row r="67" spans="2:12" x14ac:dyDescent="0.2">
      <c r="B67" s="122"/>
      <c r="C67" s="94"/>
      <c r="D67" s="94"/>
      <c r="E67" s="95"/>
      <c r="F67" s="94">
        <v>98</v>
      </c>
      <c r="G67" s="94">
        <f t="shared" si="3"/>
        <v>4.4008276247033971</v>
      </c>
      <c r="H67" s="122"/>
      <c r="I67" s="122"/>
      <c r="J67" s="122"/>
    </row>
    <row r="68" spans="2:12" x14ac:dyDescent="0.2">
      <c r="B68" s="122"/>
      <c r="C68" s="94"/>
      <c r="D68" s="94"/>
      <c r="E68" s="95"/>
      <c r="F68" s="94">
        <v>100</v>
      </c>
      <c r="G68" s="94">
        <f t="shared" si="3"/>
        <v>4.4312982154474012</v>
      </c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>
        <v>102</v>
      </c>
      <c r="G69" s="94">
        <f t="shared" si="3"/>
        <v>4.4581371199978408</v>
      </c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>
        <v>104</v>
      </c>
      <c r="G70" s="94">
        <f t="shared" si="3"/>
        <v>4.481724458500552</v>
      </c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>
        <v>106</v>
      </c>
      <c r="G71" s="94">
        <f t="shared" si="3"/>
        <v>4.5024141025187134</v>
      </c>
      <c r="I71" s="122"/>
      <c r="J71" s="122"/>
    </row>
    <row r="72" spans="2:12" s="4" customFormat="1" x14ac:dyDescent="0.2">
      <c r="B72" s="82"/>
      <c r="C72" s="94"/>
      <c r="D72" s="94"/>
      <c r="E72" s="95"/>
      <c r="F72" s="94">
        <v>108</v>
      </c>
      <c r="G72" s="94">
        <f t="shared" si="3"/>
        <v>4.5205316482959885</v>
      </c>
    </row>
    <row r="73" spans="2:12" s="4" customFormat="1" x14ac:dyDescent="0.2">
      <c r="B73" s="82"/>
      <c r="C73" s="94"/>
      <c r="D73" s="94"/>
      <c r="E73" s="95"/>
      <c r="F73" s="94">
        <v>110</v>
      </c>
      <c r="G73" s="94">
        <f t="shared" si="3"/>
        <v>4.5363738417180581</v>
      </c>
    </row>
    <row r="74" spans="2:12" s="4" customFormat="1" x14ac:dyDescent="0.2">
      <c r="B74" s="82"/>
      <c r="C74" s="94"/>
      <c r="D74" s="94"/>
      <c r="E74" s="95"/>
      <c r="F74" s="94">
        <v>112</v>
      </c>
      <c r="G74" s="94">
        <f t="shared" si="3"/>
        <v>4.5502090328173654</v>
      </c>
    </row>
    <row r="75" spans="2:12" s="4" customFormat="1" x14ac:dyDescent="0.2">
      <c r="B75" s="82"/>
      <c r="C75" s="94"/>
      <c r="D75" s="94"/>
      <c r="E75" s="95"/>
      <c r="F75" s="94">
        <v>114</v>
      </c>
      <c r="G75" s="94">
        <f t="shared" si="3"/>
        <v>4.5622783293423055</v>
      </c>
    </row>
    <row r="76" spans="2:12" s="4" customFormat="1" x14ac:dyDescent="0.2">
      <c r="B76" s="82"/>
      <c r="C76" s="94"/>
      <c r="D76" s="94"/>
      <c r="E76" s="95"/>
      <c r="F76" s="94">
        <v>116</v>
      </c>
      <c r="G76" s="94">
        <f t="shared" si="3"/>
        <v>4.5727971964312939</v>
      </c>
    </row>
    <row r="77" spans="2:12" s="4" customFormat="1" x14ac:dyDescent="0.2">
      <c r="B77" s="82"/>
      <c r="C77" s="94"/>
      <c r="D77" s="94"/>
      <c r="E77" s="95"/>
      <c r="F77" s="94">
        <v>118</v>
      </c>
      <c r="G77" s="94">
        <f t="shared" si="3"/>
        <v>4.5819573130414826</v>
      </c>
    </row>
    <row r="78" spans="2:12" s="4" customFormat="1" x14ac:dyDescent="0.2">
      <c r="B78" s="82"/>
      <c r="C78" s="94"/>
      <c r="D78" s="94"/>
      <c r="E78" s="95"/>
      <c r="F78" s="94">
        <v>120</v>
      </c>
      <c r="G78" s="94">
        <f t="shared" si="3"/>
        <v>4.5899285467260729</v>
      </c>
    </row>
    <row r="79" spans="2:12" s="4" customFormat="1" x14ac:dyDescent="0.2">
      <c r="B79" s="82"/>
      <c r="C79" s="94"/>
      <c r="D79" s="94"/>
      <c r="E79" s="95"/>
      <c r="F79" s="94">
        <v>122</v>
      </c>
      <c r="G79" s="94">
        <f t="shared" si="3"/>
        <v>4.5968609483183283</v>
      </c>
    </row>
    <row r="80" spans="2:12" s="4" customFormat="1" x14ac:dyDescent="0.2">
      <c r="B80" s="82"/>
      <c r="C80" s="94"/>
      <c r="D80" s="94"/>
      <c r="E80" s="95"/>
      <c r="F80" s="94">
        <v>124</v>
      </c>
      <c r="G80" s="94">
        <f t="shared" si="3"/>
        <v>4.6028866988506776</v>
      </c>
    </row>
    <row r="81" spans="2:7" s="4" customFormat="1" ht="13.5" customHeight="1" x14ac:dyDescent="0.2">
      <c r="B81" s="82"/>
      <c r="C81" s="94"/>
      <c r="D81" s="94"/>
      <c r="E81" s="95"/>
      <c r="F81" s="94">
        <v>126</v>
      </c>
      <c r="G81" s="94">
        <f t="shared" si="3"/>
        <v>4.6081219643100653</v>
      </c>
    </row>
    <row r="82" spans="2:7" s="4" customFormat="1" x14ac:dyDescent="0.2">
      <c r="B82" s="82"/>
      <c r="C82" s="94"/>
      <c r="D82" s="94"/>
      <c r="E82" s="95"/>
      <c r="F82" s="94">
        <v>128</v>
      </c>
      <c r="G82" s="94">
        <f t="shared" si="3"/>
        <v>4.6126686311178053</v>
      </c>
    </row>
    <row r="83" spans="2:7" s="4" customFormat="1" x14ac:dyDescent="0.2">
      <c r="B83" s="82"/>
      <c r="C83" s="94"/>
      <c r="D83" s="94"/>
      <c r="E83" s="95"/>
      <c r="F83" s="94">
        <v>130</v>
      </c>
      <c r="G83" s="94">
        <f t="shared" si="3"/>
        <v>4.6166159078151638</v>
      </c>
    </row>
    <row r="84" spans="2:7" s="4" customFormat="1" x14ac:dyDescent="0.2">
      <c r="B84" s="10"/>
      <c r="C84" s="94"/>
      <c r="D84" s="94"/>
      <c r="E84" s="95"/>
      <c r="F84" s="94">
        <v>132</v>
      </c>
      <c r="G84" s="94">
        <f t="shared" si="3"/>
        <v>4.6200417874056292</v>
      </c>
    </row>
    <row r="85" spans="2:7" s="4" customFormat="1" x14ac:dyDescent="0.2">
      <c r="B85" s="10"/>
      <c r="C85" s="10"/>
      <c r="D85" s="94"/>
      <c r="E85" s="95"/>
      <c r="F85" s="94">
        <v>134</v>
      </c>
      <c r="G85" s="94">
        <f t="shared" si="3"/>
        <v>4.6230143710186145</v>
      </c>
    </row>
    <row r="86" spans="2:7" s="4" customFormat="1" x14ac:dyDescent="0.2">
      <c r="B86" s="10"/>
      <c r="C86" s="10"/>
      <c r="D86" s="94"/>
      <c r="E86" s="95"/>
      <c r="F86" s="94">
        <v>136</v>
      </c>
      <c r="G86" s="94">
        <f t="shared" si="3"/>
        <v>4.6255930577069817</v>
      </c>
    </row>
    <row r="87" spans="2:7" s="4" customFormat="1" x14ac:dyDescent="0.2">
      <c r="B87" s="10"/>
      <c r="C87" s="10"/>
      <c r="D87" s="10"/>
      <c r="E87" s="10"/>
      <c r="F87" s="94">
        <v>138</v>
      </c>
      <c r="G87" s="94">
        <f t="shared" si="3"/>
        <v>4.6278296078121972</v>
      </c>
    </row>
    <row r="88" spans="2:7" s="4" customFormat="1" x14ac:dyDescent="0.2">
      <c r="B88" s="10"/>
      <c r="C88" s="10"/>
      <c r="D88" s="10"/>
      <c r="E88" s="10"/>
      <c r="F88" s="94">
        <v>140</v>
      </c>
      <c r="G88" s="94">
        <f t="shared" si="3"/>
        <v>4.6297690888433518</v>
      </c>
    </row>
    <row r="89" spans="2:7" s="4" customFormat="1" x14ac:dyDescent="0.2">
      <c r="B89" s="10"/>
      <c r="C89" s="10"/>
      <c r="D89" s="10"/>
      <c r="E89" s="10"/>
      <c r="F89" s="94">
        <v>142</v>
      </c>
      <c r="G89" s="94">
        <f t="shared" si="3"/>
        <v>4.6314507135377552</v>
      </c>
    </row>
    <row r="90" spans="2:7" s="4" customFormat="1" x14ac:dyDescent="0.2">
      <c r="B90" s="10"/>
      <c r="C90" s="10"/>
      <c r="D90" s="10"/>
      <c r="E90" s="10"/>
      <c r="F90" s="94">
        <v>144</v>
      </c>
      <c r="G90" s="94">
        <f t="shared" si="3"/>
        <v>4.6329085799414003</v>
      </c>
    </row>
    <row r="91" spans="2:7" s="4" customFormat="1" x14ac:dyDescent="0.2">
      <c r="B91" s="10"/>
      <c r="C91" s="10"/>
      <c r="D91" s="10"/>
      <c r="E91" s="10"/>
      <c r="F91" s="94">
        <v>146</v>
      </c>
      <c r="G91" s="94">
        <f t="shared" si="3"/>
        <v>4.6341723231458598</v>
      </c>
    </row>
    <row r="92" spans="2:7" s="4" customFormat="1" ht="13.5" customHeight="1" x14ac:dyDescent="0.2">
      <c r="B92" s="10"/>
      <c r="C92" s="10"/>
      <c r="D92" s="10"/>
      <c r="E92" s="10"/>
      <c r="F92" s="94">
        <v>148</v>
      </c>
      <c r="G92" s="94">
        <f t="shared" si="3"/>
        <v>4.6352676878757642</v>
      </c>
    </row>
    <row r="93" spans="2:7" s="4" customFormat="1" x14ac:dyDescent="0.2">
      <c r="B93" s="10"/>
      <c r="C93" s="10"/>
      <c r="D93" s="10"/>
      <c r="E93" s="10"/>
      <c r="F93" s="94">
        <v>150</v>
      </c>
      <c r="G93" s="94">
        <f t="shared" si="3"/>
        <v>4.6362170305331993</v>
      </c>
    </row>
    <row r="94" spans="2:7" s="4" customFormat="1" x14ac:dyDescent="0.2">
      <c r="B94" s="10"/>
      <c r="C94" s="10"/>
      <c r="D94" s="10"/>
      <c r="E94" s="10"/>
      <c r="F94" s="94">
        <v>152</v>
      </c>
      <c r="G94" s="94">
        <f t="shared" si="3"/>
        <v>4.6370397586403946</v>
      </c>
    </row>
    <row r="95" spans="2:7" s="4" customFormat="1" x14ac:dyDescent="0.2">
      <c r="B95" s="10"/>
      <c r="C95" s="10"/>
      <c r="D95" s="10"/>
      <c r="E95" s="10"/>
      <c r="F95" s="94">
        <v>154</v>
      </c>
      <c r="G95" s="94">
        <f t="shared" si="3"/>
        <v>4.6377527149275544</v>
      </c>
    </row>
    <row r="96" spans="2:7" s="4" customFormat="1" x14ac:dyDescent="0.2">
      <c r="B96" s="10"/>
      <c r="C96" s="10"/>
      <c r="D96" s="10"/>
      <c r="E96" s="10"/>
      <c r="F96" s="94">
        <v>156</v>
      </c>
      <c r="G96" s="94">
        <f t="shared" ref="G96:G103" si="4">$C$18+$D$11*EXP(-EXP(($D$12*EXP(1))/$D$11*($D$13-F96)+1))</f>
        <v>4.6383705126211723</v>
      </c>
    </row>
    <row r="97" spans="2:12" s="4" customFormat="1" x14ac:dyDescent="0.2">
      <c r="B97" s="10"/>
      <c r="C97" s="10"/>
      <c r="D97" s="10"/>
      <c r="E97" s="10"/>
      <c r="F97" s="94">
        <v>158</v>
      </c>
      <c r="G97" s="94">
        <f t="shared" si="4"/>
        <v>4.6389058278209738</v>
      </c>
    </row>
    <row r="98" spans="2:12" s="4" customFormat="1" x14ac:dyDescent="0.2">
      <c r="B98" s="10"/>
      <c r="C98" s="10"/>
      <c r="D98" s="10"/>
      <c r="E98" s="10"/>
      <c r="F98" s="94">
        <v>160</v>
      </c>
      <c r="G98" s="94">
        <f t="shared" si="4"/>
        <v>4.6393696542242386</v>
      </c>
    </row>
    <row r="99" spans="2:12" s="4" customFormat="1" x14ac:dyDescent="0.2">
      <c r="B99" s="10"/>
      <c r="C99" s="10"/>
      <c r="D99" s="10"/>
      <c r="E99" s="10"/>
      <c r="F99" s="94">
        <v>162</v>
      </c>
      <c r="G99" s="94">
        <f t="shared" si="4"/>
        <v>4.6397715248719518</v>
      </c>
    </row>
    <row r="100" spans="2:12" s="4" customFormat="1" x14ac:dyDescent="0.2">
      <c r="B100" s="10"/>
      <c r="C100" s="10"/>
      <c r="D100" s="10"/>
      <c r="E100" s="10"/>
      <c r="F100" s="94">
        <v>164</v>
      </c>
      <c r="G100" s="94">
        <f t="shared" si="4"/>
        <v>4.6401197050557972</v>
      </c>
    </row>
    <row r="101" spans="2:12" s="4" customFormat="1" x14ac:dyDescent="0.2">
      <c r="B101" s="10"/>
      <c r="C101" s="10"/>
      <c r="D101" s="10"/>
      <c r="E101" s="10"/>
      <c r="F101" s="94">
        <v>166</v>
      </c>
      <c r="G101" s="94">
        <f t="shared" si="4"/>
        <v>4.640421360038907</v>
      </c>
    </row>
    <row r="102" spans="2:12" s="4" customFormat="1" ht="13.5" customHeight="1" x14ac:dyDescent="0.2">
      <c r="B102" s="10"/>
      <c r="C102" s="10"/>
      <c r="D102" s="10"/>
      <c r="E102" s="10"/>
      <c r="F102" s="94">
        <v>168</v>
      </c>
      <c r="G102" s="94">
        <f t="shared" si="4"/>
        <v>4.6406827008055327</v>
      </c>
    </row>
    <row r="103" spans="2:12" x14ac:dyDescent="0.2">
      <c r="B103" s="10"/>
      <c r="C103" s="10"/>
      <c r="D103" s="10"/>
      <c r="E103" s="10"/>
      <c r="F103" s="94">
        <v>170</v>
      </c>
      <c r="G103" s="94">
        <f t="shared" si="4"/>
        <v>4.6409091106629594</v>
      </c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73"/>
  <sheetViews>
    <sheetView zoomScaleNormal="100" workbookViewId="0">
      <selection activeCell="G33" sqref="G33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'1257 (4)'!D8</f>
        <v>2.5748667460962681E-2</v>
      </c>
      <c r="E2" s="2">
        <f>SUM(D3:D5)</f>
        <v>28.251440395324963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'1257 (4)'!D11</f>
        <v>1.9290425421628323</v>
      </c>
      <c r="D3" s="10">
        <f>$D$2*G43</f>
        <v>2.9153539174573872E-2</v>
      </c>
      <c r="E3" s="10"/>
      <c r="F3" s="11">
        <f>SQRT(D3)</f>
        <v>0.17074407507897271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'1257 (4)'!D12</f>
        <v>5.0954947589573876E-2</v>
      </c>
      <c r="D4" s="10">
        <f>$D$2*H44</f>
        <v>2.1217429767655707E-4</v>
      </c>
      <c r="E4" s="10"/>
      <c r="F4" s="11">
        <f>SQRT(D4)</f>
        <v>1.4566203955614417E-2</v>
      </c>
      <c r="H4" s="12" t="s">
        <v>9</v>
      </c>
      <c r="I4" s="12">
        <v>100000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'1257 (4)'!D13</f>
        <v>56.057594526227625</v>
      </c>
      <c r="D5" s="10">
        <f>$D$2*I45</f>
        <v>28.222074681852714</v>
      </c>
      <c r="E5" s="10"/>
      <c r="F5" s="11">
        <f>SQRT(D5)</f>
        <v>5.3124452638923927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1.9290425421628325E-5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5.0954947589573878E-7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5.6057594526227623E-4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'1257 (4)'!B18</f>
        <v>0</v>
      </c>
      <c r="B22" s="4">
        <f>Q_LA($C$3,$C$4,$C$5,A22,$I$7)</f>
        <v>4.9865377269787229E-64</v>
      </c>
      <c r="C22" s="35">
        <f>Q_Lumax($C$3,$C$4,$C$5,A22,$I$8)</f>
        <v>-1.8732923004451198E-62</v>
      </c>
      <c r="D22" s="36">
        <f>Q_Llameda($C$3,$C$4,$C$5,A22,$I$9)</f>
        <v>-1.7027757219707235E-65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'1257 (4)'!B19</f>
        <v>1.9999999998835847</v>
      </c>
      <c r="B23" s="4">
        <f t="shared" ref="B23:B30" si="0">Q_LA($C$3,$C$4,$C$5,A23,$I$7)</f>
        <v>2.8881336199493521E-55</v>
      </c>
      <c r="C23" s="35">
        <f t="shared" ref="C23:C27" si="1">Q_Lumax($C$3,$C$4,$C$5,A23,$I$8)</f>
        <v>-1.0857295109884324E-53</v>
      </c>
      <c r="D23" s="36">
        <f t="shared" ref="D23:D27" si="2">Q_Llameda($C$3,$C$4,$C$5,A23,$I$9)</f>
        <v>-1.0233177896281755E-56</v>
      </c>
      <c r="E23" s="37">
        <v>2</v>
      </c>
      <c r="F23" s="40">
        <v>1</v>
      </c>
      <c r="G23" s="42">
        <v>4.9865377269787229E-64</v>
      </c>
      <c r="H23" s="42">
        <v>2.8881336199493521E-55</v>
      </c>
      <c r="I23" s="42">
        <v>6.1476422106278908E-14</v>
      </c>
      <c r="J23" s="42">
        <v>1.2440681378642552E-2</v>
      </c>
      <c r="K23" s="42">
        <v>8.5077445090998155E-3</v>
      </c>
      <c r="L23" s="42">
        <v>2.8105855333140764E-2</v>
      </c>
      <c r="M23" s="42">
        <v>0.37749973395981984</v>
      </c>
      <c r="N23" s="42">
        <v>0.54750152856885048</v>
      </c>
      <c r="O23" s="42">
        <v>0.95006526794910973</v>
      </c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'1257 (4)'!B20</f>
        <v>20.499999999941792</v>
      </c>
      <c r="B24" s="4">
        <f t="shared" si="0"/>
        <v>6.1476422106278908E-14</v>
      </c>
      <c r="C24" s="35">
        <f t="shared" si="1"/>
        <v>-2.2995675316222972E-12</v>
      </c>
      <c r="D24" s="36">
        <f t="shared" si="2"/>
        <v>-3.2945169516457688E-15</v>
      </c>
      <c r="E24" s="37">
        <v>3</v>
      </c>
      <c r="F24" s="43">
        <v>2</v>
      </c>
      <c r="G24" s="42">
        <v>-1.8732923004451198E-62</v>
      </c>
      <c r="H24" s="42">
        <v>-1.0857295109884324E-53</v>
      </c>
      <c r="I24" s="42">
        <v>-2.2995675316222972E-12</v>
      </c>
      <c r="J24" s="42">
        <v>-0.39381071287180452</v>
      </c>
      <c r="K24" s="42">
        <v>10.481926552354567</v>
      </c>
      <c r="L24" s="42">
        <v>18.016045484590013</v>
      </c>
      <c r="M24" s="42">
        <v>16.447561204865533</v>
      </c>
      <c r="N24" s="42">
        <v>12.747759644292481</v>
      </c>
      <c r="O24" s="42">
        <v>1.6165187779096752</v>
      </c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'1257 (4)'!B21</f>
        <v>44.583333333197515</v>
      </c>
      <c r="B25" s="4">
        <f t="shared" si="0"/>
        <v>1.2440681378642552E-2</v>
      </c>
      <c r="C25" s="35">
        <f t="shared" si="1"/>
        <v>-0.39381071287180452</v>
      </c>
      <c r="D25" s="36">
        <f t="shared" si="2"/>
        <v>-1.7486908428928903E-3</v>
      </c>
      <c r="E25" s="37">
        <v>4</v>
      </c>
      <c r="F25" s="43">
        <v>3</v>
      </c>
      <c r="G25" s="42">
        <v>-1.7027757219707235E-65</v>
      </c>
      <c r="H25" s="42">
        <v>-1.0233177896281755E-56</v>
      </c>
      <c r="I25" s="42">
        <v>-3.2945169516457688E-15</v>
      </c>
      <c r="J25" s="42">
        <v>-1.7486908428928903E-3</v>
      </c>
      <c r="K25" s="42">
        <v>-4.9565303450722527E-2</v>
      </c>
      <c r="L25" s="42">
        <v>-4.7832173099216349E-2</v>
      </c>
      <c r="M25" s="42">
        <v>-2.3426671899578883E-2</v>
      </c>
      <c r="N25" s="42">
        <v>-1.506832954719649E-2</v>
      </c>
      <c r="O25" s="42">
        <v>-9.9815765686602506E-4</v>
      </c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'1257 (4)'!B22</f>
        <v>66.833333333255723</v>
      </c>
      <c r="B26" s="4">
        <f t="shared" si="0"/>
        <v>8.5077445090998155E-3</v>
      </c>
      <c r="C26" s="35">
        <f t="shared" si="1"/>
        <v>10.481926552354567</v>
      </c>
      <c r="D26" s="36">
        <f t="shared" si="2"/>
        <v>-4.9565303450722527E-2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'1257 (4)'!B23</f>
        <v>75.249999999941792</v>
      </c>
      <c r="B27" s="4">
        <f t="shared" si="0"/>
        <v>2.8105855333140764E-2</v>
      </c>
      <c r="C27" s="35">
        <f t="shared" si="1"/>
        <v>18.016045484590013</v>
      </c>
      <c r="D27" s="36">
        <f t="shared" si="2"/>
        <v>-4.7832173099216349E-2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'1257 (4)'!B24</f>
        <v>91.833333333197515</v>
      </c>
      <c r="B28" s="4">
        <f>Q_LA($C$3,$C$4,$C$5,A28,$I$7)</f>
        <v>0.37749973395981984</v>
      </c>
      <c r="C28" s="35">
        <f>Q_Lumax($C$3,$C$4,$C$5,A28,$I$8)</f>
        <v>16.447561204865533</v>
      </c>
      <c r="D28" s="36">
        <f>Q_Llameda($C$3,$C$4,$C$5,A28,$I$9)</f>
        <v>-2.3426671899578883E-2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'1257 (4)'!B25</f>
        <v>99.166666666511446</v>
      </c>
      <c r="B29" s="4">
        <f t="shared" si="0"/>
        <v>0.54750152856885048</v>
      </c>
      <c r="C29" s="35">
        <f t="shared" ref="C29:C30" si="3">Q_Lumax($C$3,$C$4,$C$5,A29,$I$8)</f>
        <v>12.747759644292481</v>
      </c>
      <c r="D29" s="36">
        <f t="shared" ref="D29:D30" si="4">Q_Llameda($C$3,$C$4,$C$5,A29,$I$9)</f>
        <v>-1.506832954719649E-2</v>
      </c>
      <c r="E29" s="37">
        <v>8</v>
      </c>
    </row>
    <row r="30" spans="1:49" ht="13.5" thickBot="1" x14ac:dyDescent="0.25">
      <c r="A30" s="34">
        <f>'1257 (4)'!B26</f>
        <v>138.58333333331393</v>
      </c>
      <c r="B30" s="4">
        <f t="shared" si="0"/>
        <v>0.95006526794910973</v>
      </c>
      <c r="C30" s="35">
        <f t="shared" si="3"/>
        <v>1.6165187779096752</v>
      </c>
      <c r="D30" s="36">
        <f t="shared" si="4"/>
        <v>-9.9815765686602506E-4</v>
      </c>
      <c r="E30" s="37">
        <v>9</v>
      </c>
      <c r="J30" s="48"/>
      <c r="K30" s="49"/>
      <c r="L30" s="49"/>
    </row>
    <row r="31" spans="1:49" ht="13.5" thickBot="1" x14ac:dyDescent="0.25">
      <c r="A31" s="34"/>
      <c r="B31" s="4"/>
      <c r="C31" s="35"/>
      <c r="D31" s="36"/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/>
      <c r="B32" s="4"/>
      <c r="C32" s="35"/>
      <c r="D32" s="36"/>
      <c r="E32" s="37">
        <v>11</v>
      </c>
      <c r="F32" s="50"/>
      <c r="G32" s="168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/>
      <c r="B33" s="4"/>
      <c r="C33" s="35"/>
      <c r="D33" s="36"/>
      <c r="E33" s="37">
        <v>12</v>
      </c>
      <c r="F33" s="52">
        <v>1</v>
      </c>
      <c r="G33" s="53">
        <f t="array" ref="G33:I35">MMULT(G23:O25,B22:D30)</f>
        <v>1.3459050776619805</v>
      </c>
      <c r="H33" s="54">
        <v>15.314800863615975</v>
      </c>
      <c r="I33" s="55">
        <v>-1.9829618772727396E-2</v>
      </c>
      <c r="J33" s="48"/>
      <c r="K33" s="48"/>
      <c r="L33" s="48"/>
    </row>
    <row r="34" spans="1:12" ht="13.5" thickBot="1" x14ac:dyDescent="0.25">
      <c r="A34" s="34"/>
      <c r="B34" s="4"/>
      <c r="C34" s="35"/>
      <c r="D34" s="36"/>
      <c r="E34" s="37">
        <v>13</v>
      </c>
      <c r="F34" s="62">
        <v>2</v>
      </c>
      <c r="G34" s="56">
        <v>15.314800863615975</v>
      </c>
      <c r="H34" s="57">
        <v>870.24454452512873</v>
      </c>
      <c r="I34" s="58">
        <v>-1.9596104271093895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-1.9829618772727396E-2</v>
      </c>
      <c r="H35" s="60">
        <v>-1.9596104271093895</v>
      </c>
      <c r="I35" s="61">
        <v>5.5245538395610142E-3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1.1322348707471284</v>
      </c>
      <c r="H43" s="73">
        <v>-5.3531016051784376E-2</v>
      </c>
      <c r="I43" s="74">
        <v>-14.923947485193549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-5.3531016051784439E-2</v>
      </c>
      <c r="H44" s="76">
        <v>8.2402049736450475E-3</v>
      </c>
      <c r="I44" s="77">
        <v>2.7307348946478189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-14.923947485193565</v>
      </c>
      <c r="H45" s="76">
        <v>2.7307348946478189</v>
      </c>
      <c r="I45" s="78">
        <v>1096.0596203527791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U333"/>
  <sheetViews>
    <sheetView topLeftCell="B4" zoomScale="80" zoomScaleNormal="80" workbookViewId="0">
      <selection activeCell="D11" sqref="D11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 t="e">
        <f>DEVSQ(D18:D86)</f>
        <v>#NUM!</v>
      </c>
      <c r="D6" s="126">
        <f>SUM(E18:E86)</f>
        <v>0</v>
      </c>
      <c r="E6" s="111" t="e">
        <f>$C$6-$D$6</f>
        <v>#NUM!</v>
      </c>
      <c r="F6" s="112" t="e">
        <f>$E$6/$C$6</f>
        <v>#NUM!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 t="e">
        <f>SQRT(F6)</f>
        <v>#NUM!</v>
      </c>
      <c r="D8" s="2">
        <f>D6/(COUNT(E18:E51)-COUNT(D11:D13)-1)</f>
        <v>0</v>
      </c>
      <c r="E8" s="2" t="e">
        <f>(E6/1)</f>
        <v>#NUM!</v>
      </c>
      <c r="F8" s="2" t="e">
        <f>E8/D8</f>
        <v>#NUM!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1.7822992742580779</v>
      </c>
      <c r="E11" s="163">
        <f>'ERROS_1257 (2)'!F3</f>
        <v>11.561505579121775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5.017428374471803E-2</v>
      </c>
      <c r="E12" s="163">
        <f>'ERROS_1257 (2)'!F4</f>
        <v>3.7236831733588376E-2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14.149815391371277</v>
      </c>
      <c r="E13" s="163">
        <f>'ERROS_1257 (2)'!F5</f>
        <v>8.8948863579072324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38">
        <v>0</v>
      </c>
      <c r="C18" s="130">
        <v>0.52500000000000002</v>
      </c>
      <c r="D18" s="132"/>
      <c r="E18" s="133"/>
      <c r="F18" s="94">
        <v>0</v>
      </c>
      <c r="G18" s="94">
        <v>0.52520098078900701</v>
      </c>
      <c r="H18" s="138">
        <v>71.25</v>
      </c>
      <c r="I18" s="95"/>
      <c r="K18" s="4"/>
      <c r="L18" s="4"/>
      <c r="M18" s="4"/>
      <c r="N18" s="122"/>
      <c r="O18" s="122"/>
    </row>
    <row r="19" spans="2:15" ht="13.5" customHeight="1" x14ac:dyDescent="0.2">
      <c r="B19" s="138">
        <v>8.25</v>
      </c>
      <c r="C19" s="130">
        <v>0.7400000000000001</v>
      </c>
      <c r="D19" s="132"/>
      <c r="E19" s="133"/>
      <c r="F19" s="94">
        <v>1</v>
      </c>
      <c r="G19" s="94">
        <v>0.52578320089807229</v>
      </c>
      <c r="H19" s="138">
        <v>93.500000000058208</v>
      </c>
      <c r="I19" s="95"/>
      <c r="J19" s="95"/>
      <c r="K19" s="150"/>
      <c r="L19" s="150"/>
      <c r="M19" s="150"/>
      <c r="N19" s="4"/>
    </row>
    <row r="20" spans="2:15" x14ac:dyDescent="0.2">
      <c r="B20" s="138"/>
      <c r="C20" s="130"/>
      <c r="D20" s="132"/>
      <c r="E20" s="133"/>
      <c r="F20" s="94">
        <v>2</v>
      </c>
      <c r="G20" s="94">
        <v>0.5275028095019384</v>
      </c>
      <c r="H20" s="138">
        <v>101.91666666674428</v>
      </c>
      <c r="I20" s="95"/>
      <c r="J20" s="95"/>
      <c r="K20" s="147"/>
      <c r="L20" s="147"/>
      <c r="M20" s="147"/>
      <c r="N20" s="122"/>
    </row>
    <row r="21" spans="2:15" x14ac:dyDescent="0.2">
      <c r="B21" s="138">
        <v>23.000000000058208</v>
      </c>
      <c r="C21" s="130">
        <v>2.08</v>
      </c>
      <c r="D21" s="132"/>
      <c r="E21" s="133"/>
      <c r="F21" s="94">
        <v>3</v>
      </c>
      <c r="G21" s="94">
        <v>0.53175128661993853</v>
      </c>
      <c r="H21" s="138">
        <v>118.5</v>
      </c>
      <c r="I21" s="95"/>
      <c r="J21" s="95"/>
      <c r="K21" s="147"/>
      <c r="L21" s="124"/>
      <c r="M21" s="124"/>
      <c r="N21" s="122"/>
    </row>
    <row r="22" spans="2:15" x14ac:dyDescent="0.2">
      <c r="B22" s="138">
        <v>26.666666666802485</v>
      </c>
      <c r="C22" s="130">
        <v>2.7133333333333334</v>
      </c>
      <c r="D22" s="132"/>
      <c r="E22" s="133"/>
      <c r="F22" s="94">
        <v>4</v>
      </c>
      <c r="G22" s="94">
        <v>0.54075739224310504</v>
      </c>
      <c r="H22" s="138">
        <v>125.83333333331393</v>
      </c>
      <c r="I22" s="95"/>
      <c r="J22" s="95"/>
      <c r="K22" s="148"/>
      <c r="L22" s="124"/>
      <c r="M22" s="124"/>
      <c r="N22" s="4"/>
    </row>
    <row r="23" spans="2:15" x14ac:dyDescent="0.2">
      <c r="B23" s="138">
        <v>28.666666666686069</v>
      </c>
      <c r="C23" s="130">
        <v>2.6200000000000006</v>
      </c>
      <c r="D23" s="132"/>
      <c r="E23" s="133"/>
      <c r="F23" s="94">
        <v>5</v>
      </c>
      <c r="G23" s="94">
        <v>0.55750051807292389</v>
      </c>
      <c r="H23" s="138">
        <v>165.25000000011642</v>
      </c>
      <c r="I23" s="95"/>
      <c r="J23" s="95"/>
      <c r="K23" s="148"/>
      <c r="L23" s="124"/>
      <c r="M23" s="124"/>
      <c r="N23" s="4"/>
    </row>
    <row r="24" spans="2:15" x14ac:dyDescent="0.2">
      <c r="B24" s="138">
        <v>47.166666666744277</v>
      </c>
      <c r="C24" s="130">
        <v>2.6</v>
      </c>
      <c r="D24" s="132"/>
      <c r="E24" s="133"/>
      <c r="F24" s="94">
        <v>6</v>
      </c>
      <c r="G24" s="94">
        <v>0.58531648405120884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38">
        <v>71.25</v>
      </c>
      <c r="C25" s="130">
        <v>2.85</v>
      </c>
      <c r="D25" s="132"/>
      <c r="E25" s="133"/>
      <c r="F25" s="94">
        <v>7</v>
      </c>
      <c r="G25" s="94">
        <v>0.62728474252467081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38">
        <v>93.500000000058208</v>
      </c>
      <c r="C26" s="130">
        <v>3.2416666666666671</v>
      </c>
      <c r="D26" s="132"/>
      <c r="E26" s="133"/>
      <c r="F26" s="94">
        <v>8</v>
      </c>
      <c r="G26" s="94">
        <v>0.6855936558828627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38">
        <v>101.91666666674428</v>
      </c>
      <c r="C27" s="130">
        <v>3.7333333333333329</v>
      </c>
      <c r="D27" s="132"/>
      <c r="E27" s="133"/>
      <c r="F27" s="94">
        <v>9</v>
      </c>
      <c r="G27" s="94">
        <v>0.76108521409471264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38">
        <v>118.5</v>
      </c>
      <c r="C28" s="130">
        <v>4.083333333333333</v>
      </c>
      <c r="D28" s="132"/>
      <c r="E28" s="133"/>
      <c r="F28" s="94">
        <v>10</v>
      </c>
      <c r="G28" s="94">
        <v>0.85309560492525938</v>
      </c>
      <c r="H28" s="95"/>
      <c r="I28" s="95"/>
      <c r="J28" s="122"/>
      <c r="K28" s="122"/>
      <c r="L28" s="122"/>
    </row>
    <row r="29" spans="2:15" x14ac:dyDescent="0.2">
      <c r="B29" s="138">
        <v>125.83333333331393</v>
      </c>
      <c r="C29" s="130">
        <v>4.6333333333333329</v>
      </c>
      <c r="D29" s="132"/>
      <c r="E29" s="133"/>
      <c r="F29" s="94">
        <v>12</v>
      </c>
      <c r="G29" s="94">
        <v>1.0775344451458206</v>
      </c>
      <c r="H29" s="95"/>
      <c r="I29" s="95"/>
      <c r="J29" s="122"/>
      <c r="K29" s="122"/>
      <c r="L29" s="122"/>
    </row>
    <row r="30" spans="2:15" x14ac:dyDescent="0.2">
      <c r="B30" s="138">
        <v>165.25000000011642</v>
      </c>
      <c r="C30" s="130">
        <v>4.58</v>
      </c>
      <c r="D30" s="132"/>
      <c r="E30" s="133"/>
      <c r="F30" s="94">
        <v>14</v>
      </c>
      <c r="G30" s="94">
        <v>1.3331640272894885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16</v>
      </c>
      <c r="G31" s="94">
        <v>1.5915408902639991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18</v>
      </c>
      <c r="G32" s="94">
        <v>1.8307866577476513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20</v>
      </c>
      <c r="G33" s="94">
        <v>2.038546656858701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22</v>
      </c>
      <c r="G34" s="94">
        <v>2.2106879130870061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24</v>
      </c>
      <c r="G35" s="94">
        <v>2.3485031241286225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26</v>
      </c>
      <c r="G36" s="94">
        <v>2.4561035820403472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28</v>
      </c>
      <c r="G37" s="94">
        <v>2.5385882853572554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30</v>
      </c>
      <c r="G38" s="94">
        <v>2.60097934682276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32</v>
      </c>
      <c r="G39" s="94">
        <v>2.6477130108339235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34</v>
      </c>
      <c r="G40" s="94">
        <v>2.6824699510230303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36</v>
      </c>
      <c r="G41" s="94">
        <v>2.7081853938541225</v>
      </c>
      <c r="H41" s="146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38</v>
      </c>
      <c r="G42" s="94">
        <v>2.7271392625350583</v>
      </c>
      <c r="H42" s="146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40</v>
      </c>
      <c r="G43" s="94">
        <v>2.7410707913354009</v>
      </c>
      <c r="H43" s="146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42</v>
      </c>
      <c r="G44" s="94">
        <v>2.7512901105446308</v>
      </c>
      <c r="H44" s="146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44</v>
      </c>
      <c r="G45" s="94">
        <v>2.7587753337000898</v>
      </c>
      <c r="H45" s="146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46</v>
      </c>
      <c r="G46" s="94">
        <v>2.764252050759199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48</v>
      </c>
      <c r="G47" s="94">
        <v>2.7682560590607719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50</v>
      </c>
      <c r="G48" s="94">
        <v>2.771181699364007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52</v>
      </c>
      <c r="G49" s="94">
        <v>2.7733185070872484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54</v>
      </c>
      <c r="G50" s="94">
        <v>2.7748786974200801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56</v>
      </c>
      <c r="G51" s="94">
        <v>2.7760176172217039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58</v>
      </c>
      <c r="G52" s="94">
        <v>2.7768488798321891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60</v>
      </c>
      <c r="G53" s="94">
        <v>2.7774555210942253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62</v>
      </c>
      <c r="G54" s="94">
        <v>2.7778981993038596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64</v>
      </c>
      <c r="G55" s="94">
        <v>2.7782212100596286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66</v>
      </c>
      <c r="G56" s="94">
        <v>2.7784568917601176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68</v>
      </c>
      <c r="G57" s="94">
        <v>2.7786288488870499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70</v>
      </c>
      <c r="G58" s="94">
        <v>2.7787543084799426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72</v>
      </c>
      <c r="G59" s="94">
        <v>2.77884584192687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74</v>
      </c>
      <c r="G60" s="94">
        <v>2.7789126224944667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>
        <v>76</v>
      </c>
      <c r="G61" s="94">
        <v>2.7789613435030005</v>
      </c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>
        <v>78</v>
      </c>
      <c r="G62" s="94">
        <v>2.7789968885770988</v>
      </c>
      <c r="H62" s="122"/>
      <c r="I62" s="122"/>
      <c r="J62" s="122"/>
    </row>
    <row r="63" spans="2:11" x14ac:dyDescent="0.2">
      <c r="B63" s="122"/>
      <c r="C63" s="94"/>
      <c r="D63" s="94"/>
      <c r="E63" s="95"/>
      <c r="F63" s="94">
        <v>80</v>
      </c>
      <c r="G63" s="94">
        <v>2.7790228208380126</v>
      </c>
      <c r="H63" s="122"/>
      <c r="I63" s="122"/>
      <c r="J63" s="122"/>
    </row>
    <row r="64" spans="2:11" x14ac:dyDescent="0.2">
      <c r="B64" s="122"/>
      <c r="C64" s="94"/>
      <c r="D64" s="94"/>
      <c r="E64" s="95"/>
      <c r="F64" s="94">
        <v>82</v>
      </c>
      <c r="G64" s="94">
        <v>2.7790417399060661</v>
      </c>
      <c r="H64" s="122"/>
      <c r="I64" s="122"/>
      <c r="J64" s="122"/>
    </row>
    <row r="65" spans="2:12" x14ac:dyDescent="0.2">
      <c r="B65" s="122"/>
      <c r="C65" s="94"/>
      <c r="D65" s="94"/>
      <c r="E65" s="95"/>
      <c r="F65" s="94">
        <v>82</v>
      </c>
      <c r="G65" s="165">
        <v>2.823394021578332</v>
      </c>
      <c r="H65" s="122"/>
      <c r="I65" s="122"/>
      <c r="J65" s="122"/>
    </row>
    <row r="66" spans="2:12" x14ac:dyDescent="0.2">
      <c r="B66" s="122"/>
      <c r="C66" s="94"/>
      <c r="D66" s="94"/>
      <c r="E66" s="95"/>
      <c r="F66" s="94">
        <v>84</v>
      </c>
      <c r="G66" s="165">
        <v>2.8747755698936688</v>
      </c>
      <c r="H66" s="122"/>
      <c r="I66" s="122"/>
      <c r="J66" s="122"/>
    </row>
    <row r="67" spans="2:12" x14ac:dyDescent="0.2">
      <c r="B67" s="122"/>
      <c r="C67" s="94"/>
      <c r="D67" s="94"/>
      <c r="E67" s="95"/>
      <c r="F67" s="94">
        <v>86</v>
      </c>
      <c r="G67" s="166">
        <v>2.9383127840903458</v>
      </c>
      <c r="H67" s="122"/>
      <c r="I67" s="122"/>
      <c r="J67" s="122"/>
    </row>
    <row r="68" spans="2:12" x14ac:dyDescent="0.2">
      <c r="B68" s="122"/>
      <c r="C68" s="94"/>
      <c r="D68" s="94"/>
      <c r="E68" s="95"/>
      <c r="F68" s="94">
        <v>88</v>
      </c>
      <c r="G68" s="166">
        <v>3.0132407214131591</v>
      </c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>
        <v>90</v>
      </c>
      <c r="G69" s="166">
        <v>3.0980398976990897</v>
      </c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>
        <v>92</v>
      </c>
      <c r="G70" s="166">
        <v>3.1906477529151029</v>
      </c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>
        <v>94</v>
      </c>
      <c r="G71" s="166">
        <v>3.2887037393609706</v>
      </c>
      <c r="I71" s="122"/>
      <c r="J71" s="122"/>
    </row>
    <row r="72" spans="2:12" s="4" customFormat="1" x14ac:dyDescent="0.2">
      <c r="B72" s="82"/>
      <c r="C72" s="94"/>
      <c r="D72" s="94"/>
      <c r="E72" s="95"/>
      <c r="F72" s="94">
        <v>96</v>
      </c>
      <c r="G72" s="166">
        <v>3.389782311502068</v>
      </c>
    </row>
    <row r="73" spans="2:12" s="4" customFormat="1" x14ac:dyDescent="0.2">
      <c r="B73" s="82"/>
      <c r="C73" s="94"/>
      <c r="D73" s="94"/>
      <c r="E73" s="95"/>
      <c r="F73" s="94">
        <v>98</v>
      </c>
      <c r="G73" s="166">
        <v>3.4915837962974594</v>
      </c>
    </row>
    <row r="74" spans="2:12" s="4" customFormat="1" x14ac:dyDescent="0.2">
      <c r="B74" s="82"/>
      <c r="C74" s="94"/>
      <c r="D74" s="94"/>
      <c r="E74" s="95"/>
      <c r="F74" s="94">
        <v>100</v>
      </c>
      <c r="G74" s="166">
        <v>3.592069541083478</v>
      </c>
    </row>
    <row r="75" spans="2:12" s="4" customFormat="1" x14ac:dyDescent="0.2">
      <c r="B75" s="82"/>
      <c r="C75" s="94"/>
      <c r="D75" s="94"/>
      <c r="E75" s="95"/>
      <c r="F75" s="94">
        <v>102</v>
      </c>
      <c r="G75" s="166">
        <v>3.6895408027402778</v>
      </c>
    </row>
    <row r="76" spans="2:12" s="4" customFormat="1" x14ac:dyDescent="0.2">
      <c r="B76" s="82"/>
      <c r="C76" s="94"/>
      <c r="D76" s="94"/>
      <c r="E76" s="95"/>
      <c r="F76" s="94">
        <v>104</v>
      </c>
      <c r="G76" s="166">
        <v>3.7826691225915736</v>
      </c>
    </row>
    <row r="77" spans="2:12" s="4" customFormat="1" x14ac:dyDescent="0.2">
      <c r="B77" s="82"/>
      <c r="C77" s="94"/>
      <c r="D77" s="94"/>
      <c r="E77" s="95"/>
      <c r="F77" s="94">
        <v>106</v>
      </c>
      <c r="G77" s="166">
        <v>3.8704897647892134</v>
      </c>
    </row>
    <row r="78" spans="2:12" s="4" customFormat="1" x14ac:dyDescent="0.2">
      <c r="B78" s="82"/>
      <c r="C78" s="94"/>
      <c r="D78" s="94"/>
      <c r="E78" s="95"/>
      <c r="F78" s="94">
        <v>108</v>
      </c>
      <c r="G78" s="166">
        <v>3.9523703480723098</v>
      </c>
    </row>
    <row r="79" spans="2:12" s="4" customFormat="1" x14ac:dyDescent="0.2">
      <c r="B79" s="82"/>
      <c r="C79" s="94"/>
      <c r="D79" s="94"/>
      <c r="E79" s="95"/>
      <c r="F79" s="94">
        <v>110</v>
      </c>
      <c r="G79" s="166">
        <v>4.027965379858145</v>
      </c>
    </row>
    <row r="80" spans="2:12" s="4" customFormat="1" x14ac:dyDescent="0.2">
      <c r="B80" s="82"/>
      <c r="C80" s="94"/>
      <c r="D80" s="94"/>
      <c r="E80" s="95"/>
      <c r="F80" s="94">
        <v>112</v>
      </c>
      <c r="G80" s="166">
        <v>4.097165091975449</v>
      </c>
    </row>
    <row r="81" spans="2:7" s="4" customFormat="1" ht="13.5" customHeight="1" x14ac:dyDescent="0.2">
      <c r="B81" s="82"/>
      <c r="C81" s="94"/>
      <c r="D81" s="94"/>
      <c r="E81" s="95"/>
      <c r="F81" s="94">
        <v>114</v>
      </c>
      <c r="G81" s="166">
        <v>4.1600445201002412</v>
      </c>
    </row>
    <row r="82" spans="2:7" s="4" customFormat="1" x14ac:dyDescent="0.2">
      <c r="B82" s="82"/>
      <c r="C82" s="94"/>
      <c r="D82" s="94"/>
      <c r="E82" s="95"/>
      <c r="F82" s="94">
        <v>116</v>
      </c>
      <c r="G82" s="166">
        <v>4.2168165842670122</v>
      </c>
    </row>
    <row r="83" spans="2:7" s="4" customFormat="1" x14ac:dyDescent="0.2">
      <c r="B83" s="82"/>
      <c r="C83" s="94"/>
      <c r="D83" s="94"/>
      <c r="E83" s="95"/>
      <c r="F83" s="94">
        <v>118</v>
      </c>
      <c r="G83" s="166">
        <v>4.2677911952803207</v>
      </c>
    </row>
    <row r="84" spans="2:7" s="4" customFormat="1" x14ac:dyDescent="0.2">
      <c r="B84" s="10"/>
      <c r="C84" s="94"/>
      <c r="D84" s="94"/>
      <c r="E84" s="95"/>
      <c r="F84" s="94">
        <v>120</v>
      </c>
      <c r="G84" s="166">
        <v>4.3133411580112355</v>
      </c>
    </row>
    <row r="85" spans="2:7" s="4" customFormat="1" x14ac:dyDescent="0.2">
      <c r="B85" s="10"/>
      <c r="C85" s="10"/>
      <c r="D85" s="94"/>
      <c r="E85" s="95"/>
      <c r="F85" s="94">
        <v>122</v>
      </c>
      <c r="G85" s="166">
        <v>4.3538748124097468</v>
      </c>
    </row>
    <row r="86" spans="2:7" s="4" customFormat="1" x14ac:dyDescent="0.2">
      <c r="B86" s="10"/>
      <c r="C86" s="10"/>
      <c r="D86" s="94"/>
      <c r="E86" s="95"/>
      <c r="F86" s="94">
        <v>124</v>
      </c>
      <c r="G86" s="166">
        <v>4.3898148591264947</v>
      </c>
    </row>
    <row r="87" spans="2:7" s="4" customFormat="1" x14ac:dyDescent="0.2">
      <c r="B87" s="10"/>
      <c r="C87" s="10"/>
      <c r="D87" s="10"/>
      <c r="E87" s="10"/>
      <c r="F87" s="94">
        <v>126</v>
      </c>
      <c r="G87" s="166">
        <v>4.4215825682307397</v>
      </c>
    </row>
    <row r="88" spans="2:7" s="4" customFormat="1" x14ac:dyDescent="0.2">
      <c r="B88" s="10"/>
      <c r="C88" s="10"/>
      <c r="D88" s="10"/>
      <c r="E88" s="10"/>
      <c r="F88" s="94">
        <v>128</v>
      </c>
      <c r="G88" s="166">
        <v>4.4495864873753366</v>
      </c>
    </row>
    <row r="89" spans="2:7" s="4" customFormat="1" x14ac:dyDescent="0.2">
      <c r="B89" s="10"/>
      <c r="C89" s="10"/>
      <c r="D89" s="10"/>
      <c r="E89" s="10"/>
      <c r="F89" s="94">
        <v>130</v>
      </c>
      <c r="G89" s="166">
        <v>4.474214787352512</v>
      </c>
    </row>
    <row r="90" spans="2:7" s="4" customFormat="1" x14ac:dyDescent="0.2">
      <c r="B90" s="10"/>
      <c r="C90" s="10"/>
      <c r="D90" s="10"/>
      <c r="E90" s="10"/>
      <c r="F90" s="94">
        <v>132</v>
      </c>
      <c r="G90" s="166">
        <v>4.4958304625593941</v>
      </c>
    </row>
    <row r="91" spans="2:7" s="4" customFormat="1" x14ac:dyDescent="0.2">
      <c r="B91" s="10"/>
      <c r="C91" s="10"/>
      <c r="D91" s="10"/>
      <c r="E91" s="10"/>
      <c r="F91" s="94">
        <v>134</v>
      </c>
      <c r="G91" s="166">
        <v>4.5147687101241152</v>
      </c>
    </row>
    <row r="92" spans="2:7" s="4" customFormat="1" ht="13.5" customHeight="1" x14ac:dyDescent="0.2">
      <c r="B92" s="10"/>
      <c r="C92" s="10"/>
      <c r="D92" s="10"/>
      <c r="E92" s="10"/>
      <c r="F92" s="94">
        <v>136</v>
      </c>
      <c r="G92" s="166">
        <v>4.5313359242788378</v>
      </c>
    </row>
    <row r="93" spans="2:7" s="4" customFormat="1" x14ac:dyDescent="0.2">
      <c r="B93" s="10"/>
      <c r="C93" s="10"/>
      <c r="D93" s="10"/>
      <c r="E93" s="10"/>
      <c r="F93" s="94">
        <v>138</v>
      </c>
      <c r="G93" s="166">
        <v>4.5458098501755568</v>
      </c>
    </row>
    <row r="94" spans="2:7" s="4" customFormat="1" x14ac:dyDescent="0.2">
      <c r="B94" s="10"/>
      <c r="C94" s="10"/>
      <c r="D94" s="10"/>
      <c r="E94" s="10"/>
      <c r="F94" s="94">
        <v>140</v>
      </c>
      <c r="G94" s="166">
        <v>4.5584405375527135</v>
      </c>
    </row>
    <row r="95" spans="2:7" s="4" customFormat="1" x14ac:dyDescent="0.2">
      <c r="B95" s="10"/>
      <c r="C95" s="10"/>
      <c r="D95" s="10"/>
      <c r="E95" s="10"/>
      <c r="F95" s="94">
        <v>142</v>
      </c>
      <c r="G95" s="166">
        <v>4.5694518169805267</v>
      </c>
    </row>
    <row r="96" spans="2:7" s="4" customFormat="1" x14ac:dyDescent="0.2">
      <c r="B96" s="10"/>
      <c r="C96" s="10"/>
      <c r="D96" s="10"/>
      <c r="E96" s="10"/>
      <c r="F96" s="94">
        <v>144</v>
      </c>
      <c r="G96" s="166">
        <v>4.5790430895832372</v>
      </c>
    </row>
    <row r="97" spans="2:12" s="4" customFormat="1" x14ac:dyDescent="0.2">
      <c r="B97" s="10"/>
      <c r="C97" s="10"/>
      <c r="D97" s="10"/>
      <c r="E97" s="10"/>
      <c r="F97" s="94">
        <v>146</v>
      </c>
      <c r="G97" s="166">
        <v>4.5873912761470459</v>
      </c>
    </row>
    <row r="98" spans="2:12" s="4" customFormat="1" x14ac:dyDescent="0.2">
      <c r="B98" s="10"/>
      <c r="C98" s="10"/>
      <c r="D98" s="10"/>
      <c r="E98" s="10"/>
      <c r="F98" s="94">
        <v>148</v>
      </c>
      <c r="G98" s="166">
        <v>4.5946528149605079</v>
      </c>
    </row>
    <row r="99" spans="2:12" s="4" customFormat="1" x14ac:dyDescent="0.2">
      <c r="B99" s="10"/>
      <c r="C99" s="10"/>
      <c r="D99" s="10"/>
      <c r="E99" s="10"/>
      <c r="F99" s="94">
        <v>150</v>
      </c>
      <c r="G99" s="166">
        <v>4.6009656313810421</v>
      </c>
    </row>
    <row r="100" spans="2:12" s="4" customFormat="1" x14ac:dyDescent="0.2">
      <c r="B100" s="10"/>
      <c r="C100" s="10"/>
      <c r="D100" s="10"/>
      <c r="E100" s="10"/>
      <c r="F100" s="94">
        <v>152</v>
      </c>
      <c r="G100" s="166">
        <v>4.6064510277192019</v>
      </c>
    </row>
    <row r="101" spans="2:12" s="4" customFormat="1" x14ac:dyDescent="0.2">
      <c r="B101" s="10"/>
      <c r="C101" s="10"/>
      <c r="D101" s="10"/>
      <c r="E101" s="10"/>
      <c r="F101" s="94">
        <v>154</v>
      </c>
      <c r="G101" s="166">
        <v>4.6112154611619136</v>
      </c>
    </row>
    <row r="102" spans="2:12" s="4" customFormat="1" ht="13.5" customHeight="1" x14ac:dyDescent="0.2">
      <c r="B102" s="10"/>
      <c r="C102" s="10"/>
      <c r="D102" s="10"/>
      <c r="E102" s="10"/>
      <c r="F102" s="94">
        <v>156</v>
      </c>
      <c r="G102" s="166">
        <v>4.6153521914843942</v>
      </c>
    </row>
    <row r="103" spans="2:12" x14ac:dyDescent="0.2">
      <c r="B103" s="10"/>
      <c r="C103" s="10"/>
      <c r="D103" s="10"/>
      <c r="E103" s="10"/>
      <c r="F103" s="94">
        <v>158</v>
      </c>
      <c r="G103" s="166">
        <v>4.6189427903714186</v>
      </c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>
        <v>160</v>
      </c>
      <c r="G104" s="166">
        <v>4.6220585112151644</v>
      </c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>
        <v>162</v>
      </c>
      <c r="G105" s="166">
        <v>4.6247615230250041</v>
      </c>
      <c r="H105" s="4"/>
      <c r="I105" s="4"/>
      <c r="J105" s="4"/>
    </row>
    <row r="106" spans="2:12" x14ac:dyDescent="0.2">
      <c r="B106" s="10"/>
      <c r="C106" s="10"/>
      <c r="D106" s="10"/>
      <c r="E106" s="10"/>
      <c r="F106" s="94">
        <v>164</v>
      </c>
      <c r="G106" s="166">
        <v>4.6271060151614396</v>
      </c>
      <c r="H106" s="4"/>
      <c r="I106" s="4"/>
      <c r="J106" s="4"/>
    </row>
    <row r="107" spans="2:12" x14ac:dyDescent="0.2">
      <c r="B107" s="10"/>
      <c r="C107" s="10"/>
      <c r="D107" s="10"/>
      <c r="E107" s="10"/>
      <c r="F107" s="94">
        <v>166</v>
      </c>
      <c r="G107" s="166">
        <v>4.6291391814472362</v>
      </c>
    </row>
    <row r="108" spans="2:12" x14ac:dyDescent="0.2">
      <c r="B108" s="10"/>
      <c r="C108" s="10"/>
      <c r="D108" s="10"/>
      <c r="E108" s="10"/>
      <c r="F108" s="94">
        <v>168</v>
      </c>
      <c r="G108" s="166">
        <v>4.6309020931624545</v>
      </c>
    </row>
    <row r="109" spans="2:12" x14ac:dyDescent="0.2">
      <c r="B109" s="10"/>
      <c r="C109" s="10"/>
      <c r="D109" s="10"/>
      <c r="E109" s="10"/>
      <c r="F109" s="94">
        <v>170</v>
      </c>
      <c r="G109" s="166">
        <v>4.632430470760494</v>
      </c>
    </row>
    <row r="110" spans="2:12" x14ac:dyDescent="0.2">
      <c r="B110" s="10"/>
      <c r="C110" s="10"/>
      <c r="D110" s="10"/>
      <c r="E110" s="10"/>
      <c r="F110" s="94"/>
      <c r="G110" s="166"/>
    </row>
    <row r="111" spans="2:12" x14ac:dyDescent="0.2">
      <c r="B111" s="10"/>
      <c r="C111" s="10"/>
      <c r="D111" s="10"/>
      <c r="E111" s="10"/>
      <c r="F111" s="94"/>
      <c r="G111" s="166"/>
    </row>
    <row r="112" spans="2:12" x14ac:dyDescent="0.2">
      <c r="B112" s="10"/>
      <c r="C112" s="10"/>
      <c r="D112" s="10"/>
      <c r="E112" s="10"/>
      <c r="F112" s="94"/>
      <c r="G112" s="166"/>
    </row>
    <row r="113" spans="2:7" x14ac:dyDescent="0.2">
      <c r="B113" s="10"/>
      <c r="C113" s="10"/>
      <c r="D113" s="10"/>
      <c r="E113" s="10"/>
      <c r="F113" s="94"/>
      <c r="G113" s="103"/>
    </row>
    <row r="114" spans="2:7" x14ac:dyDescent="0.2">
      <c r="B114" s="10"/>
      <c r="C114" s="10"/>
      <c r="D114" s="10"/>
      <c r="E114" s="10"/>
      <c r="F114" s="94"/>
      <c r="G114" s="103"/>
    </row>
    <row r="115" spans="2:7" x14ac:dyDescent="0.2">
      <c r="B115" s="10"/>
      <c r="C115" s="10"/>
      <c r="D115" s="10"/>
      <c r="E115" s="10"/>
      <c r="F115" s="94"/>
      <c r="G115" s="103"/>
    </row>
    <row r="116" spans="2:7" x14ac:dyDescent="0.2">
      <c r="B116" s="10"/>
      <c r="C116" s="10"/>
      <c r="D116" s="10"/>
      <c r="E116" s="10"/>
      <c r="F116" s="94"/>
      <c r="G116" s="103"/>
    </row>
    <row r="117" spans="2:7" x14ac:dyDescent="0.2">
      <c r="B117" s="10"/>
      <c r="C117" s="10"/>
      <c r="D117" s="10"/>
      <c r="E117" s="10"/>
      <c r="F117" s="94"/>
      <c r="G117" s="103"/>
    </row>
    <row r="118" spans="2:7" x14ac:dyDescent="0.2">
      <c r="B118" s="10"/>
      <c r="C118" s="10"/>
      <c r="D118" s="10"/>
      <c r="E118" s="10"/>
      <c r="F118" s="94"/>
      <c r="G118" s="103"/>
    </row>
    <row r="119" spans="2:7" x14ac:dyDescent="0.2">
      <c r="B119" s="10"/>
      <c r="C119" s="10"/>
      <c r="D119" s="10"/>
      <c r="E119" s="10"/>
      <c r="F119" s="94"/>
      <c r="G119" s="103"/>
    </row>
    <row r="120" spans="2:7" x14ac:dyDescent="0.2">
      <c r="B120" s="10"/>
      <c r="C120" s="10"/>
      <c r="D120" s="10"/>
      <c r="E120" s="10"/>
      <c r="F120" s="94"/>
      <c r="G120" s="103"/>
    </row>
    <row r="121" spans="2:7" x14ac:dyDescent="0.2">
      <c r="B121" s="10"/>
      <c r="C121" s="10"/>
      <c r="D121" s="10"/>
      <c r="E121" s="10"/>
      <c r="F121" s="94"/>
      <c r="G121" s="103"/>
    </row>
    <row r="122" spans="2:7" x14ac:dyDescent="0.2">
      <c r="B122" s="10"/>
      <c r="C122" s="10"/>
      <c r="D122" s="10"/>
      <c r="E122" s="10"/>
      <c r="F122" s="94"/>
      <c r="G122" s="103"/>
    </row>
    <row r="123" spans="2:7" x14ac:dyDescent="0.2">
      <c r="B123" s="10"/>
      <c r="C123" s="10"/>
      <c r="D123" s="10"/>
      <c r="E123" s="10"/>
      <c r="F123" s="94"/>
      <c r="G123" s="103"/>
    </row>
    <row r="124" spans="2:7" x14ac:dyDescent="0.2">
      <c r="B124" s="10"/>
      <c r="C124" s="10"/>
      <c r="D124" s="10"/>
      <c r="E124" s="10"/>
      <c r="F124" s="94"/>
      <c r="G124" s="103"/>
    </row>
    <row r="125" spans="2:7" x14ac:dyDescent="0.2">
      <c r="B125" s="10"/>
      <c r="C125" s="10"/>
      <c r="D125" s="10"/>
      <c r="E125" s="10"/>
      <c r="F125" s="94"/>
      <c r="G125" s="103"/>
    </row>
    <row r="126" spans="2:7" x14ac:dyDescent="0.2">
      <c r="B126" s="10"/>
      <c r="C126" s="10"/>
      <c r="D126" s="10"/>
      <c r="E126" s="10"/>
      <c r="F126" s="94"/>
      <c r="G126" s="103"/>
    </row>
    <row r="127" spans="2:7" x14ac:dyDescent="0.2">
      <c r="B127" s="10"/>
      <c r="C127" s="10"/>
      <c r="D127" s="10"/>
      <c r="E127" s="10"/>
      <c r="F127" s="94"/>
      <c r="G127" s="103"/>
    </row>
    <row r="128" spans="2:7" x14ac:dyDescent="0.2">
      <c r="B128" s="10"/>
      <c r="C128" s="10"/>
      <c r="D128" s="10"/>
      <c r="E128" s="10"/>
      <c r="F128" s="94"/>
      <c r="G128" s="103"/>
    </row>
    <row r="129" spans="2:7" x14ac:dyDescent="0.2">
      <c r="B129" s="10"/>
      <c r="C129" s="10"/>
      <c r="D129" s="10"/>
      <c r="E129" s="10"/>
      <c r="F129" s="94"/>
      <c r="G129" s="103"/>
    </row>
    <row r="130" spans="2:7" x14ac:dyDescent="0.2">
      <c r="B130" s="10"/>
      <c r="C130" s="10"/>
      <c r="D130" s="10"/>
      <c r="E130" s="10"/>
      <c r="F130" s="94"/>
      <c r="G130" s="103"/>
    </row>
    <row r="131" spans="2:7" x14ac:dyDescent="0.2">
      <c r="B131" s="10"/>
      <c r="C131" s="10"/>
      <c r="D131" s="10"/>
      <c r="E131" s="10"/>
      <c r="F131" s="94"/>
      <c r="G131" s="103"/>
    </row>
    <row r="132" spans="2:7" x14ac:dyDescent="0.2">
      <c r="B132" s="10"/>
      <c r="C132" s="10"/>
      <c r="D132" s="10"/>
      <c r="E132" s="10"/>
      <c r="F132" s="94"/>
      <c r="G132" s="103"/>
    </row>
    <row r="133" spans="2:7" x14ac:dyDescent="0.2">
      <c r="B133" s="10"/>
      <c r="C133" s="10"/>
      <c r="D133" s="10"/>
      <c r="E133" s="10"/>
      <c r="F133" s="94"/>
      <c r="G133" s="103"/>
    </row>
    <row r="134" spans="2:7" x14ac:dyDescent="0.2">
      <c r="B134" s="10"/>
      <c r="C134" s="10"/>
      <c r="D134" s="10"/>
      <c r="E134" s="10"/>
      <c r="F134" s="94"/>
      <c r="G134" s="103"/>
    </row>
    <row r="135" spans="2:7" x14ac:dyDescent="0.2">
      <c r="B135" s="10"/>
      <c r="C135" s="10"/>
      <c r="D135" s="10"/>
      <c r="E135" s="10"/>
      <c r="F135" s="94"/>
      <c r="G135" s="103"/>
    </row>
    <row r="136" spans="2:7" x14ac:dyDescent="0.2">
      <c r="B136" s="10"/>
      <c r="C136" s="10"/>
      <c r="D136" s="10"/>
      <c r="E136" s="10"/>
      <c r="F136" s="94"/>
      <c r="G136" s="103"/>
    </row>
    <row r="137" spans="2:7" x14ac:dyDescent="0.2">
      <c r="B137" s="10"/>
      <c r="C137" s="10"/>
      <c r="D137" s="10"/>
      <c r="E137" s="10"/>
      <c r="F137" s="94"/>
      <c r="G137" s="103"/>
    </row>
    <row r="138" spans="2:7" x14ac:dyDescent="0.2">
      <c r="B138" s="10"/>
      <c r="C138" s="10"/>
      <c r="D138" s="10"/>
      <c r="E138" s="10"/>
      <c r="F138" s="94"/>
      <c r="G138" s="103"/>
    </row>
    <row r="139" spans="2:7" x14ac:dyDescent="0.2">
      <c r="B139" s="10"/>
      <c r="C139" s="10"/>
      <c r="D139" s="10"/>
      <c r="E139" s="10"/>
      <c r="F139" s="94"/>
      <c r="G139" s="103"/>
    </row>
    <row r="140" spans="2:7" x14ac:dyDescent="0.2">
      <c r="B140" s="10"/>
      <c r="C140" s="10"/>
      <c r="D140" s="10"/>
      <c r="E140" s="10"/>
      <c r="F140" s="94"/>
      <c r="G140" s="103"/>
    </row>
    <row r="141" spans="2:7" x14ac:dyDescent="0.2">
      <c r="B141" s="10"/>
      <c r="C141" s="10"/>
      <c r="D141" s="10"/>
      <c r="E141" s="10"/>
      <c r="F141" s="94"/>
      <c r="G141" s="103"/>
    </row>
    <row r="142" spans="2:7" x14ac:dyDescent="0.2">
      <c r="B142" s="10"/>
      <c r="C142" s="10"/>
      <c r="D142" s="10"/>
      <c r="E142" s="10"/>
      <c r="F142" s="94"/>
      <c r="G142" s="103"/>
    </row>
    <row r="143" spans="2:7" x14ac:dyDescent="0.2">
      <c r="B143" s="10"/>
      <c r="C143" s="10"/>
      <c r="D143" s="10"/>
      <c r="E143" s="10"/>
      <c r="F143" s="94"/>
      <c r="G143" s="103"/>
    </row>
    <row r="144" spans="2:7" x14ac:dyDescent="0.2">
      <c r="B144" s="10"/>
      <c r="C144" s="10"/>
      <c r="D144" s="10"/>
      <c r="E144" s="10"/>
      <c r="F144" s="94"/>
      <c r="G144" s="103"/>
    </row>
    <row r="145" spans="2:7" x14ac:dyDescent="0.2">
      <c r="B145" s="10"/>
      <c r="C145" s="10"/>
      <c r="D145" s="10"/>
      <c r="E145" s="10"/>
      <c r="F145" s="94"/>
      <c r="G145" s="103"/>
    </row>
    <row r="146" spans="2:7" x14ac:dyDescent="0.2">
      <c r="B146" s="10"/>
      <c r="C146" s="10"/>
      <c r="D146" s="10"/>
      <c r="E146" s="10"/>
      <c r="F146" s="94"/>
      <c r="G146" s="103"/>
    </row>
    <row r="147" spans="2:7" x14ac:dyDescent="0.2">
      <c r="B147" s="10"/>
      <c r="C147" s="10"/>
      <c r="D147" s="10"/>
      <c r="E147" s="10"/>
      <c r="F147" s="94"/>
      <c r="G147" s="103"/>
    </row>
    <row r="148" spans="2:7" x14ac:dyDescent="0.2">
      <c r="B148" s="10"/>
      <c r="C148" s="10"/>
      <c r="D148" s="10"/>
      <c r="E148" s="10"/>
      <c r="F148" s="94"/>
      <c r="G148" s="103"/>
    </row>
    <row r="149" spans="2:7" x14ac:dyDescent="0.2">
      <c r="B149" s="10"/>
      <c r="C149" s="10"/>
      <c r="D149" s="10"/>
      <c r="E149" s="10"/>
      <c r="F149" s="94"/>
      <c r="G149" s="103"/>
    </row>
    <row r="150" spans="2:7" x14ac:dyDescent="0.2">
      <c r="B150" s="10"/>
      <c r="C150" s="10"/>
      <c r="D150" s="10"/>
      <c r="E150" s="10"/>
      <c r="F150" s="94"/>
      <c r="G150" s="103"/>
    </row>
    <row r="151" spans="2:7" x14ac:dyDescent="0.2">
      <c r="B151" s="10"/>
      <c r="C151" s="10"/>
      <c r="D151" s="10"/>
      <c r="E151" s="10"/>
      <c r="F151" s="94"/>
      <c r="G151" s="103"/>
    </row>
    <row r="152" spans="2:7" x14ac:dyDescent="0.2">
      <c r="B152" s="10"/>
      <c r="C152" s="10"/>
      <c r="D152" s="10"/>
      <c r="E152" s="10"/>
      <c r="F152" s="94"/>
      <c r="G152" s="103"/>
    </row>
    <row r="153" spans="2:7" x14ac:dyDescent="0.2">
      <c r="B153" s="10"/>
      <c r="C153" s="10"/>
      <c r="D153" s="10"/>
      <c r="E153" s="10"/>
      <c r="F153" s="94"/>
      <c r="G153" s="103"/>
    </row>
    <row r="154" spans="2:7" x14ac:dyDescent="0.2">
      <c r="B154" s="10"/>
      <c r="C154" s="10"/>
      <c r="D154" s="10"/>
      <c r="E154" s="10"/>
      <c r="F154" s="94"/>
      <c r="G154" s="103"/>
    </row>
    <row r="155" spans="2:7" x14ac:dyDescent="0.2">
      <c r="B155" s="10"/>
      <c r="C155" s="10"/>
      <c r="D155" s="10"/>
      <c r="E155" s="10"/>
      <c r="F155" s="94"/>
      <c r="G155" s="103"/>
    </row>
    <row r="156" spans="2:7" x14ac:dyDescent="0.2">
      <c r="B156" s="10"/>
      <c r="C156" s="10"/>
      <c r="D156" s="10"/>
      <c r="E156" s="10"/>
      <c r="F156" s="94"/>
      <c r="G156" s="103"/>
    </row>
    <row r="157" spans="2:7" x14ac:dyDescent="0.2">
      <c r="B157" s="10"/>
      <c r="C157" s="10"/>
      <c r="D157" s="10"/>
      <c r="E157" s="10"/>
      <c r="F157" s="94"/>
      <c r="G157" s="103"/>
    </row>
    <row r="158" spans="2:7" x14ac:dyDescent="0.2">
      <c r="B158" s="10"/>
      <c r="C158" s="10"/>
      <c r="D158" s="10"/>
      <c r="E158" s="10"/>
      <c r="F158" s="94"/>
      <c r="G158" s="103"/>
    </row>
    <row r="159" spans="2:7" x14ac:dyDescent="0.2">
      <c r="B159" s="10"/>
      <c r="C159" s="10"/>
      <c r="D159" s="10"/>
      <c r="E159" s="10"/>
      <c r="F159" s="94"/>
      <c r="G159" s="103"/>
    </row>
    <row r="160" spans="2:7" x14ac:dyDescent="0.2">
      <c r="B160" s="10"/>
      <c r="C160" s="10"/>
      <c r="D160" s="10"/>
      <c r="E160" s="10"/>
      <c r="F160" s="94"/>
      <c r="G160" s="103"/>
    </row>
    <row r="161" spans="2:8" x14ac:dyDescent="0.2">
      <c r="B161" s="10"/>
      <c r="C161" s="10"/>
      <c r="D161" s="10"/>
      <c r="E161" s="10"/>
      <c r="F161" s="94"/>
      <c r="G161" s="103"/>
    </row>
    <row r="162" spans="2:8" x14ac:dyDescent="0.2">
      <c r="B162" s="10"/>
      <c r="C162" s="10"/>
      <c r="D162" s="10"/>
      <c r="E162" s="10"/>
      <c r="F162" s="94"/>
      <c r="G162" s="103"/>
    </row>
    <row r="163" spans="2:8" x14ac:dyDescent="0.2">
      <c r="B163" s="10"/>
      <c r="C163" s="10"/>
      <c r="D163" s="10"/>
      <c r="E163" s="10"/>
      <c r="F163" s="94"/>
      <c r="G163" s="103"/>
    </row>
    <row r="164" spans="2:8" x14ac:dyDescent="0.2">
      <c r="B164" s="10"/>
      <c r="C164" s="10"/>
      <c r="D164" s="10"/>
      <c r="E164" s="10"/>
      <c r="F164" s="94"/>
      <c r="G164" s="103"/>
    </row>
    <row r="165" spans="2:8" x14ac:dyDescent="0.2">
      <c r="B165" s="10"/>
      <c r="C165" s="10"/>
      <c r="D165" s="10"/>
      <c r="E165" s="10"/>
      <c r="F165" s="94"/>
      <c r="G165" s="103"/>
    </row>
    <row r="166" spans="2:8" x14ac:dyDescent="0.2">
      <c r="B166" s="10"/>
      <c r="C166" s="10"/>
      <c r="D166" s="10"/>
      <c r="E166" s="10"/>
      <c r="F166" s="94"/>
      <c r="G166" s="103"/>
      <c r="H166" s="10"/>
    </row>
    <row r="167" spans="2:8" x14ac:dyDescent="0.2">
      <c r="B167" s="10"/>
      <c r="C167" s="10"/>
      <c r="D167" s="10"/>
      <c r="E167" s="10"/>
      <c r="F167" s="94"/>
      <c r="G167" s="103"/>
      <c r="H167" s="10"/>
    </row>
    <row r="168" spans="2:8" x14ac:dyDescent="0.2">
      <c r="B168" s="10"/>
      <c r="C168" s="10"/>
      <c r="D168" s="10"/>
      <c r="E168" s="10"/>
      <c r="F168" s="94"/>
      <c r="G168" s="103"/>
      <c r="H168" s="10"/>
    </row>
    <row r="169" spans="2:8" x14ac:dyDescent="0.2">
      <c r="B169" s="10"/>
      <c r="C169" s="10"/>
      <c r="D169" s="10"/>
      <c r="E169" s="10"/>
      <c r="F169" s="94"/>
      <c r="G169" s="103"/>
      <c r="H169" s="10"/>
    </row>
    <row r="170" spans="2:8" x14ac:dyDescent="0.2">
      <c r="B170" s="10"/>
      <c r="C170" s="10"/>
      <c r="D170" s="10"/>
      <c r="E170" s="10"/>
      <c r="F170" s="94"/>
      <c r="G170" s="103"/>
      <c r="H170" s="10"/>
    </row>
    <row r="171" spans="2:8" x14ac:dyDescent="0.2">
      <c r="B171" s="10"/>
      <c r="C171" s="10"/>
      <c r="D171" s="10"/>
      <c r="E171" s="10"/>
      <c r="F171" s="94"/>
      <c r="G171" s="103"/>
      <c r="H171" s="10"/>
    </row>
    <row r="172" spans="2:8" x14ac:dyDescent="0.2">
      <c r="B172" s="10"/>
      <c r="C172" s="10"/>
      <c r="D172" s="10"/>
      <c r="E172" s="10"/>
      <c r="F172" s="94"/>
      <c r="G172" s="103"/>
      <c r="H172" s="10"/>
    </row>
    <row r="173" spans="2:8" x14ac:dyDescent="0.2">
      <c r="B173" s="10"/>
      <c r="C173" s="10"/>
      <c r="D173" s="10"/>
      <c r="E173" s="10"/>
      <c r="F173" s="94"/>
      <c r="G173" s="103"/>
      <c r="H173" s="10"/>
    </row>
    <row r="174" spans="2:8" x14ac:dyDescent="0.2">
      <c r="B174" s="10"/>
      <c r="C174" s="10"/>
      <c r="D174" s="10"/>
      <c r="E174" s="10"/>
      <c r="F174" s="94"/>
      <c r="G174" s="103"/>
      <c r="H174" s="10"/>
    </row>
    <row r="175" spans="2:8" x14ac:dyDescent="0.2">
      <c r="B175" s="10"/>
      <c r="C175" s="10"/>
      <c r="D175" s="10"/>
      <c r="E175" s="10"/>
      <c r="F175" s="94"/>
      <c r="G175" s="103"/>
      <c r="H175" s="10"/>
    </row>
    <row r="176" spans="2:8" x14ac:dyDescent="0.2">
      <c r="B176" s="10"/>
      <c r="C176" s="10"/>
      <c r="D176" s="10"/>
      <c r="E176" s="10"/>
      <c r="F176" s="94"/>
      <c r="G176" s="103"/>
      <c r="H176" s="10"/>
    </row>
    <row r="177" spans="2:14" x14ac:dyDescent="0.2">
      <c r="B177" s="10"/>
      <c r="C177" s="10"/>
      <c r="D177" s="10"/>
      <c r="E177" s="10"/>
      <c r="F177" s="94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82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3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F290" s="10"/>
      <c r="G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>
    <tabColor theme="8"/>
  </sheetPr>
  <dimension ref="B3:U333"/>
  <sheetViews>
    <sheetView topLeftCell="A4"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26.501785861154907</v>
      </c>
      <c r="D6" s="126">
        <f>SUM(E18:E86)</f>
        <v>0.27119928045986835</v>
      </c>
      <c r="E6" s="111">
        <f>$C$6-$D$6</f>
        <v>26.230586580695039</v>
      </c>
      <c r="F6" s="112">
        <f>$E$6/$C$6</f>
        <v>0.98976675451681995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0.9948702199366608</v>
      </c>
      <c r="D8" s="2">
        <f>D6/(COUNT(E18:E51)-COUNT(D11:D13)-1)</f>
        <v>3.0133253384429817E-2</v>
      </c>
      <c r="E8" s="2">
        <f>(E6/1)</f>
        <v>26.230586580695039</v>
      </c>
      <c r="F8" s="2">
        <f>E8/D8</f>
        <v>870.48637749313423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4.4520462018904645</v>
      </c>
      <c r="E11" s="163">
        <f>'ERROS_183 (Opt)'!F3</f>
        <v>0.13464972865182553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1">
        <v>0.49799481676456214</v>
      </c>
      <c r="E12" s="163">
        <f>'ERROS_183 (Opt)'!F4</f>
        <v>3.7457002426706916E-2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8.1528891722124843</v>
      </c>
      <c r="E13" s="163">
        <f>'ERROS_183 (Opt)'!F5</f>
        <v>0.33596001172914641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0.05</v>
      </c>
      <c r="D18" s="132">
        <f>$C$18+$D$11*EXP(-EXP(($D$12*EXP(1))/$D$11*($D$13-B18)+1))</f>
        <v>5.0000000000036814E-2</v>
      </c>
      <c r="E18" s="133">
        <f t="shared" ref="E18:E30" si="0">(C18-D18)^2</f>
        <v>1.3550373643284647E-27</v>
      </c>
      <c r="F18" s="94">
        <v>0</v>
      </c>
      <c r="G18" s="94">
        <f t="shared" ref="G18:G56" si="1">$C$18+$D$11*EXP(-EXP(($D$12*EXP(1))/$D$11*($D$13-F18)+1))</f>
        <v>5.0000000000036814E-2</v>
      </c>
      <c r="H18" s="138">
        <v>71.25</v>
      </c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0.498</v>
      </c>
      <c r="D19" s="132">
        <f>$C$18+$D$11*EXP(-EXP(($D$12*EXP(1))/$D$11*($D$13-B19)+1))</f>
        <v>0.55038492080892176</v>
      </c>
      <c r="E19" s="133">
        <f>(C19-D19)^2</f>
        <v>2.7441799281570046E-3</v>
      </c>
      <c r="F19" s="94">
        <v>1</v>
      </c>
      <c r="G19" s="94">
        <f t="shared" si="1"/>
        <v>5.0000000181224503E-2</v>
      </c>
      <c r="H19" s="138">
        <v>93.500000000058208</v>
      </c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0.89</v>
      </c>
      <c r="D20" s="132">
        <f t="shared" ref="D20:D30" si="2">$C$18+$D$11*EXP(-EXP(($D$12*EXP(1))/$D$11*($D$13-B20)+1))</f>
        <v>1.0396690266479425</v>
      </c>
      <c r="E20" s="133">
        <f t="shared" si="0"/>
        <v>2.240081753774251E-2</v>
      </c>
      <c r="F20" s="94">
        <v>2</v>
      </c>
      <c r="G20" s="94">
        <f t="shared" si="1"/>
        <v>5.0000096027191847E-2</v>
      </c>
      <c r="H20" s="138">
        <v>101.91666666674428</v>
      </c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1.54</v>
      </c>
      <c r="D21" s="132">
        <f t="shared" si="2"/>
        <v>1.5179596882419177</v>
      </c>
      <c r="E21" s="133">
        <f t="shared" si="0"/>
        <v>4.8577534239346078E-4</v>
      </c>
      <c r="F21" s="94">
        <v>3</v>
      </c>
      <c r="G21" s="94">
        <f t="shared" si="1"/>
        <v>5.0009825099686739E-2</v>
      </c>
      <c r="H21" s="138">
        <v>118.5</v>
      </c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2.3199999999999998</v>
      </c>
      <c r="D22" s="132">
        <f t="shared" si="2"/>
        <v>2.1010714693041814</v>
      </c>
      <c r="E22" s="133">
        <f t="shared" si="0"/>
        <v>4.7929701552629905E-2</v>
      </c>
      <c r="F22" s="94">
        <v>4</v>
      </c>
      <c r="G22" s="94">
        <f t="shared" si="1"/>
        <v>5.0298748483756449E-2</v>
      </c>
      <c r="H22" s="138">
        <v>125.83333333331393</v>
      </c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2.62</v>
      </c>
      <c r="D23" s="132">
        <f>$C$18+$D$11*EXP(-EXP(($D$12*EXP(1))/$D$11*($D$13-B23)+1))</f>
        <v>2.5936419432570892</v>
      </c>
      <c r="E23" s="133">
        <f t="shared" si="0"/>
        <v>6.9474715526251173E-4</v>
      </c>
      <c r="F23" s="94">
        <v>5</v>
      </c>
      <c r="G23" s="94">
        <f t="shared" si="1"/>
        <v>5.3710773036703643E-2</v>
      </c>
      <c r="H23" s="138">
        <v>165.25000000011642</v>
      </c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2.89</v>
      </c>
      <c r="D24" s="132">
        <f t="shared" si="2"/>
        <v>2.9957356675942268</v>
      </c>
      <c r="E24" s="133">
        <f t="shared" si="0"/>
        <v>1.1180031401596803E-2</v>
      </c>
      <c r="F24" s="94">
        <v>6</v>
      </c>
      <c r="G24" s="94">
        <f t="shared" si="1"/>
        <v>7.3809629027082907E-2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3.44</v>
      </c>
      <c r="D25" s="132">
        <f t="shared" si="2"/>
        <v>3.3326196523942873</v>
      </c>
      <c r="E25" s="133">
        <f t="shared" si="0"/>
        <v>1.1530539051923687E-2</v>
      </c>
      <c r="F25" s="94">
        <v>7</v>
      </c>
      <c r="G25" s="94">
        <f t="shared" si="1"/>
        <v>0.14383895037149547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3.44</v>
      </c>
      <c r="D26" s="132">
        <f t="shared" si="2"/>
        <v>3.6056393528605755</v>
      </c>
      <c r="E26" s="133">
        <f t="shared" si="0"/>
        <v>2.7436395216070247E-2</v>
      </c>
      <c r="F26" s="94">
        <v>8</v>
      </c>
      <c r="G26" s="94">
        <f t="shared" si="1"/>
        <v>0.30813631783828149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4</v>
      </c>
      <c r="D27" s="132">
        <f t="shared" si="2"/>
        <v>3.8215322260582782</v>
      </c>
      <c r="E27" s="133">
        <f t="shared" si="0"/>
        <v>3.1850746335713498E-2</v>
      </c>
      <c r="F27" s="94">
        <v>9</v>
      </c>
      <c r="G27" s="94">
        <f t="shared" si="1"/>
        <v>0.5946209167868699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3.96</v>
      </c>
      <c r="D28" s="132">
        <f t="shared" si="2"/>
        <v>4.1361818802313763</v>
      </c>
      <c r="E28" s="133">
        <f t="shared" si="0"/>
        <v>3.1040054921863049E-2</v>
      </c>
      <c r="F28" s="94">
        <v>10</v>
      </c>
      <c r="G28" s="94">
        <f t="shared" si="1"/>
        <v>0.9947736070485943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4.0999999999999996</v>
      </c>
      <c r="D29" s="132">
        <f t="shared" si="2"/>
        <v>4.283357629663465</v>
      </c>
      <c r="E29" s="133">
        <f t="shared" si="0"/>
        <v>3.3620020355804511E-2</v>
      </c>
      <c r="F29" s="94">
        <v>11</v>
      </c>
      <c r="G29" s="94">
        <f t="shared" si="1"/>
        <v>1.4685286386796716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4.72</v>
      </c>
      <c r="D30" s="132">
        <f t="shared" si="2"/>
        <v>4.4957539929882557</v>
      </c>
      <c r="E30" s="133">
        <f t="shared" si="0"/>
        <v>5.0286271660711146E-2</v>
      </c>
      <c r="F30" s="94">
        <v>12</v>
      </c>
      <c r="G30" s="94">
        <f t="shared" si="1"/>
        <v>1.9645660172007551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2.4386792061694873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2.862242395670441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3.2221972800805778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3.5169970672145188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3.7519302702534838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3.9354147032753577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4.0765979816713402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4.1840439006871204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4.2651530900373329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4.3260152473093685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4.3714830210419082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4.4053395528634764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4.4304893907523271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4.4491384115596002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4.462948845603413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4.4731661980849218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4.4807198913628765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4.486301399064299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4.4904240342289619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4.4934682380549722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4.495715639494712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4.4973745378571053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4.4985988971310036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4.4995024655867359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4.5001692508812603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4.5006612800753913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W73"/>
  <sheetViews>
    <sheetView topLeftCell="A16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'183 (Opt)'!D8</f>
        <v>3.0133253384429817E-2</v>
      </c>
      <c r="E2" s="2">
        <f>SUM(D3:D5)</f>
        <v>0.13240270593785275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'183 (Opt)'!D11</f>
        <v>4.4520462018904645</v>
      </c>
      <c r="D3" s="10">
        <f>$D$2*G43</f>
        <v>1.8130549426010247E-2</v>
      </c>
      <c r="E3" s="10"/>
      <c r="F3" s="11">
        <f>SQRT(D3)</f>
        <v>0.13464972865182553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'183 (Opt)'!D12</f>
        <v>0.49799481676456214</v>
      </c>
      <c r="D4" s="10">
        <f>$D$2*H44</f>
        <v>1.4030270307943279E-3</v>
      </c>
      <c r="E4" s="10"/>
      <c r="F4" s="11">
        <f>SQRT(D4)</f>
        <v>3.7457002426706916E-2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'183 (Opt)'!D13</f>
        <v>8.1528891722124843</v>
      </c>
      <c r="D5" s="10">
        <f>$D$2*I45</f>
        <v>0.11286912948104819</v>
      </c>
      <c r="E5" s="10"/>
      <c r="F5" s="11">
        <f>SQRT(D5)</f>
        <v>0.33596001172914641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4.4520462018904643E-4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4.9799481676456217E-5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8.1528891722124845E-4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'183 (Opt)'!B18</f>
        <v>0</v>
      </c>
      <c r="B22" s="4">
        <f>Q_LA($C$3,$C$4,$C$5,A22,$I$7)</f>
        <v>6.7554017858451475E-13</v>
      </c>
      <c r="C22" s="35">
        <f>Q_Lumax($C$3,$C$4,$C$5,A22,$I$8)</f>
        <v>-5.9190792511552157E-12</v>
      </c>
      <c r="D22" s="36">
        <f>Q_Llameda($C$3,$C$4,$C$5,A22,$I$9)</f>
        <v>-3.6154922811237188E-13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'183 (Opt)'!B19</f>
        <v>8.8699999999999992</v>
      </c>
      <c r="B23" s="4">
        <f t="shared" ref="B23:B33" si="0">Q_LA($C$3,$C$4,$C$5,A23,$I$7)</f>
        <v>5.8829055413168622E-2</v>
      </c>
      <c r="C23" s="35">
        <f t="shared" ref="C23:C33" si="1">Q_Lumax($C$3,$C$4,$C$5,A23,$I$8)</f>
        <v>0.4788833246738578</v>
      </c>
      <c r="D23" s="36">
        <f t="shared" ref="D23:D33" si="2">Q_Llameda($C$3,$C$4,$C$5,A23,$I$9)</f>
        <v>-0.33250547916019912</v>
      </c>
      <c r="E23" s="37">
        <v>2</v>
      </c>
      <c r="F23" s="40">
        <v>1</v>
      </c>
      <c r="G23" s="4">
        <v>6.7554017858451475E-13</v>
      </c>
      <c r="H23" s="4">
        <v>5.8829055413168622E-2</v>
      </c>
      <c r="I23" s="4">
        <v>2.4393690320788534E-2</v>
      </c>
      <c r="J23" s="4">
        <v>1.9095887905113775E-3</v>
      </c>
      <c r="K23" s="4">
        <v>1.2643720537966328E-2</v>
      </c>
      <c r="L23" s="4">
        <v>6.5936360215453127E-2</v>
      </c>
      <c r="M23" s="4">
        <v>0.14671177734466223</v>
      </c>
      <c r="N23" s="4">
        <v>0.24561084148476578</v>
      </c>
      <c r="O23" s="4">
        <v>0.35107084486479306</v>
      </c>
      <c r="P23" s="4">
        <v>0.45412063758663879</v>
      </c>
      <c r="Q23" s="4">
        <v>0.64574855243940343</v>
      </c>
      <c r="R23" s="4">
        <v>0.75982196358358278</v>
      </c>
      <c r="S23" s="4">
        <v>0.9879038669296023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'183 (Opt)'!B20</f>
        <v>10.1</v>
      </c>
      <c r="B24" s="4">
        <f t="shared" si="0"/>
        <v>2.4393690320788534E-2</v>
      </c>
      <c r="C24" s="35">
        <f t="shared" si="1"/>
        <v>1.7692824032711547</v>
      </c>
      <c r="D24" s="36">
        <f>Q_Llameda($C$3,$C$4,$C$5,A24,$I$9)</f>
        <v>-0.45247825174976847</v>
      </c>
      <c r="E24" s="37">
        <v>3</v>
      </c>
      <c r="F24" s="43">
        <v>2</v>
      </c>
      <c r="G24" s="35">
        <v>-5.9190792511552157E-12</v>
      </c>
      <c r="H24" s="35">
        <v>0.4788833246738578</v>
      </c>
      <c r="I24" s="35">
        <v>1.7692824032711547</v>
      </c>
      <c r="J24" s="35">
        <v>2.9306980319888742</v>
      </c>
      <c r="K24" s="35">
        <v>4.0055130202671396</v>
      </c>
      <c r="L24" s="35">
        <v>4.5179861844451947</v>
      </c>
      <c r="M24" s="35">
        <v>4.6030890917793688</v>
      </c>
      <c r="N24" s="35">
        <v>4.3952581922469189</v>
      </c>
      <c r="O24" s="35">
        <v>4.0005854077472742</v>
      </c>
      <c r="P24" s="35">
        <v>3.5128038019255734</v>
      </c>
      <c r="Q24" s="35">
        <v>2.4315450213074108</v>
      </c>
      <c r="R24" s="35">
        <v>1.7073933861811761</v>
      </c>
      <c r="S24" s="35">
        <v>9.5431595210064057E-2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'183 (Opt)'!B21</f>
        <v>11.1</v>
      </c>
      <c r="B25" s="4">
        <f t="shared" si="0"/>
        <v>1.9095887905113775E-3</v>
      </c>
      <c r="C25" s="35">
        <f t="shared" si="1"/>
        <v>2.9306980319888742</v>
      </c>
      <c r="D25" s="36">
        <f t="shared" si="2"/>
        <v>-0.49521227198489048</v>
      </c>
      <c r="E25" s="37">
        <v>4</v>
      </c>
      <c r="F25" s="43">
        <v>3</v>
      </c>
      <c r="G25" s="36">
        <v>-3.6154922811237188E-13</v>
      </c>
      <c r="H25" s="36">
        <v>-0.33250547916019912</v>
      </c>
      <c r="I25" s="36">
        <v>-0.45247825174976847</v>
      </c>
      <c r="J25" s="36">
        <v>-0.49521227198489048</v>
      </c>
      <c r="K25" s="36">
        <v>-0.48334260592737671</v>
      </c>
      <c r="L25" s="36">
        <v>-0.43295877454672604</v>
      </c>
      <c r="M25" s="36">
        <v>-0.36994789078624846</v>
      </c>
      <c r="N25" s="36">
        <v>-0.30417358067218403</v>
      </c>
      <c r="O25" s="36">
        <v>-0.24309232289855492</v>
      </c>
      <c r="P25" s="36">
        <v>-0.19024920427605194</v>
      </c>
      <c r="Q25" s="36">
        <v>-0.10655525513392307</v>
      </c>
      <c r="R25" s="36">
        <v>-6.4841580410248456E-2</v>
      </c>
      <c r="S25" s="36">
        <v>-1.912094603895214E-3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'183 (Opt)'!B22</f>
        <v>12.28</v>
      </c>
      <c r="B26" s="4">
        <f t="shared" si="0"/>
        <v>1.2643720537966328E-2</v>
      </c>
      <c r="C26" s="35">
        <f t="shared" si="1"/>
        <v>4.0055130202671396</v>
      </c>
      <c r="D26" s="36">
        <f t="shared" si="2"/>
        <v>-0.48334260592737671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'183 (Opt)'!B23</f>
        <v>13.35</v>
      </c>
      <c r="B27" s="4">
        <f t="shared" si="0"/>
        <v>6.5936360215453127E-2</v>
      </c>
      <c r="C27" s="35">
        <f t="shared" si="1"/>
        <v>4.5179861844451947</v>
      </c>
      <c r="D27" s="36">
        <f t="shared" si="2"/>
        <v>-0.43295877454672604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'183 (Opt)'!B24</f>
        <v>14.35</v>
      </c>
      <c r="B28" s="4">
        <f t="shared" si="0"/>
        <v>0.14671177734466223</v>
      </c>
      <c r="C28" s="35">
        <f t="shared" si="1"/>
        <v>4.6030890917793688</v>
      </c>
      <c r="D28" s="36">
        <f t="shared" si="2"/>
        <v>-0.36994789078624846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'183 (Opt)'!B25</f>
        <v>15.35</v>
      </c>
      <c r="B29" s="4">
        <f t="shared" si="0"/>
        <v>0.24561084148476578</v>
      </c>
      <c r="C29" s="35">
        <f t="shared" si="1"/>
        <v>4.3952581922469189</v>
      </c>
      <c r="D29" s="36">
        <f t="shared" si="2"/>
        <v>-0.30417358067218403</v>
      </c>
      <c r="E29" s="37">
        <v>8</v>
      </c>
    </row>
    <row r="30" spans="1:49" ht="13.5" thickBot="1" x14ac:dyDescent="0.25">
      <c r="A30" s="34">
        <f>'183 (Opt)'!B26</f>
        <v>16.350000000000001</v>
      </c>
      <c r="B30" s="4">
        <f t="shared" si="0"/>
        <v>0.35107084486479306</v>
      </c>
      <c r="C30" s="35">
        <f t="shared" si="1"/>
        <v>4.0005854077472742</v>
      </c>
      <c r="D30" s="36">
        <f t="shared" si="2"/>
        <v>-0.24309232289855492</v>
      </c>
      <c r="E30" s="37">
        <v>9</v>
      </c>
      <c r="J30" s="48"/>
      <c r="K30" s="49"/>
      <c r="L30" s="49"/>
    </row>
    <row r="31" spans="1:49" ht="13.5" thickBot="1" x14ac:dyDescent="0.25">
      <c r="A31" s="34">
        <f>'183 (Opt)'!B27</f>
        <v>17.350000000000001</v>
      </c>
      <c r="B31" s="4">
        <f t="shared" si="0"/>
        <v>0.45412063758663879</v>
      </c>
      <c r="C31" s="35">
        <f t="shared" si="1"/>
        <v>3.5128038019255734</v>
      </c>
      <c r="D31" s="36">
        <f t="shared" si="2"/>
        <v>-0.19024920427605194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'183 (Opt)'!B28</f>
        <v>19.52</v>
      </c>
      <c r="B32" s="4">
        <f t="shared" si="0"/>
        <v>0.64574855243940343</v>
      </c>
      <c r="C32" s="35">
        <f t="shared" si="1"/>
        <v>2.4315450213074108</v>
      </c>
      <c r="D32" s="36">
        <f t="shared" si="2"/>
        <v>-0.10655525513392307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'183 (Opt)'!B29</f>
        <v>21.27</v>
      </c>
      <c r="B33" s="4">
        <f t="shared" si="0"/>
        <v>0.75982196358358278</v>
      </c>
      <c r="C33" s="35">
        <f t="shared" si="1"/>
        <v>1.7073933861811761</v>
      </c>
      <c r="D33" s="36">
        <f t="shared" si="2"/>
        <v>-6.4841580410248456E-2</v>
      </c>
      <c r="E33" s="37">
        <v>12</v>
      </c>
      <c r="F33" s="52">
        <v>1</v>
      </c>
      <c r="G33" s="53">
        <f t="array" ref="G33:I35">MMULT(G23:S25,B22:D34)</f>
        <v>2.3901670059638422</v>
      </c>
      <c r="H33" s="54">
        <v>8.1418071218385677</v>
      </c>
      <c r="I33" s="55">
        <v>-0.48689090713733568</v>
      </c>
      <c r="J33" s="48"/>
      <c r="K33" s="48"/>
      <c r="L33" s="48"/>
    </row>
    <row r="34" spans="1:12" ht="13.5" thickBot="1" x14ac:dyDescent="0.25">
      <c r="A34" s="34">
        <f>'183 (Opt)'!B30</f>
        <v>33.020000000000003</v>
      </c>
      <c r="B34" s="4">
        <f t="shared" ref="B34" si="3">Q_LA($C$3,$C$4,$C$5,A34,$I$7)</f>
        <v>0.9879038669296023</v>
      </c>
      <c r="C34" s="35">
        <f t="shared" ref="C34" si="4">Q_Lumax($C$3,$C$4,$C$5,A34,$I$8)</f>
        <v>9.5431595210064057E-2</v>
      </c>
      <c r="D34" s="36">
        <f t="shared" ref="D34" si="5">Q_Llameda($C$3,$C$4,$C$5,A34,$I$9)</f>
        <v>-1.912094603895214E-3</v>
      </c>
      <c r="E34" s="37">
        <v>13</v>
      </c>
      <c r="F34" s="62">
        <v>2</v>
      </c>
      <c r="G34" s="56">
        <v>8.1418071218385677</v>
      </c>
      <c r="H34" s="57">
        <v>126.0929226083058</v>
      </c>
      <c r="I34" s="58">
        <v>-11.35387834269982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-0.48689090713733568</v>
      </c>
      <c r="H35" s="60">
        <v>-11.35387834269982</v>
      </c>
      <c r="I35" s="61">
        <v>1.3218387867727344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0.60167912155739878</v>
      </c>
      <c r="H43" s="73">
        <v>-8.3392266285701011E-2</v>
      </c>
      <c r="I43" s="74">
        <v>-0.49466966726375816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-8.3392266285701067E-2</v>
      </c>
      <c r="H44" s="76">
        <v>4.6560755086581106E-2</v>
      </c>
      <c r="I44" s="77">
        <v>0.36921462549056688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-0.49466966726375988</v>
      </c>
      <c r="H45" s="76">
        <v>0.36921462549056694</v>
      </c>
      <c r="I45" s="78">
        <v>3.7456668897016248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>
    <tabColor theme="8"/>
  </sheetPr>
  <dimension ref="A1:U333"/>
  <sheetViews>
    <sheetView zoomScale="80" zoomScaleNormal="80" workbookViewId="0"/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1" spans="1:17" ht="28.5" x14ac:dyDescent="0.45">
      <c r="A1" s="182" t="s">
        <v>62</v>
      </c>
      <c r="C1" s="2" t="s">
        <v>65</v>
      </c>
    </row>
    <row r="3" spans="1:17" ht="18.75" x14ac:dyDescent="0.3">
      <c r="D3" s="113" t="s">
        <v>21</v>
      </c>
      <c r="E3" s="91"/>
      <c r="F3" s="19"/>
      <c r="G3" s="85"/>
    </row>
    <row r="4" spans="1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1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1:17" ht="30.75" customHeight="1" x14ac:dyDescent="0.2">
      <c r="C6" s="110">
        <f>DEVSQ(D18:D86)</f>
        <v>20.58332558100772</v>
      </c>
      <c r="D6" s="126">
        <f>SUM(E18:E86)</f>
        <v>0.1776559869150269</v>
      </c>
      <c r="E6" s="111">
        <f>$C$6-$D$6</f>
        <v>20.405669594092693</v>
      </c>
      <c r="F6" s="112">
        <f>$E$6/$C$6</f>
        <v>0.99136893665623449</v>
      </c>
      <c r="G6" s="90"/>
      <c r="H6" s="87"/>
      <c r="I6" s="23"/>
      <c r="O6" s="23"/>
      <c r="P6" s="23"/>
      <c r="Q6" s="86"/>
    </row>
    <row r="7" spans="1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1:17" ht="30.75" customHeight="1" x14ac:dyDescent="0.2">
      <c r="C8" s="105">
        <f>SQRT(F6)</f>
        <v>0.99567511601738568</v>
      </c>
      <c r="D8" s="2">
        <f>D6/(COUNT(E18:E51)-COUNT(D11:D13)-1)</f>
        <v>1.9739554101669655E-2</v>
      </c>
      <c r="E8" s="2">
        <f>(E6/1)</f>
        <v>20.405669594092693</v>
      </c>
      <c r="F8" s="2">
        <f>E8/D8</f>
        <v>1033.7452147597749</v>
      </c>
      <c r="G8" s="90"/>
      <c r="H8" s="89"/>
      <c r="I8" s="23"/>
      <c r="O8" s="90"/>
      <c r="P8" s="90"/>
      <c r="Q8" s="90"/>
    </row>
    <row r="9" spans="1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1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1:17" ht="20.25" customHeight="1" thickBot="1" x14ac:dyDescent="0.25">
      <c r="C11" s="8" t="s">
        <v>4</v>
      </c>
      <c r="D11" s="161">
        <v>8</v>
      </c>
      <c r="E11" s="163">
        <f>'ERROS_1309 (Opt)'!F3</f>
        <v>2.4385009476994561</v>
      </c>
      <c r="F11" s="2">
        <f>(D11-'1257 (Opt)'!D11)/D11</f>
        <v>0.51029230867601649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1:17" ht="20.25" customHeight="1" thickBot="1" x14ac:dyDescent="0.25">
      <c r="C12" s="8" t="s">
        <v>6</v>
      </c>
      <c r="D12" s="161">
        <v>0.33948877828508761</v>
      </c>
      <c r="E12" s="163">
        <f>'ERROS_1309 (Opt)'!F4</f>
        <v>1.6124885673625057E-2</v>
      </c>
      <c r="F12" s="2">
        <f>(D12-'1257 (Opt)'!D12)/D12</f>
        <v>0.50006012227275465</v>
      </c>
      <c r="H12" s="82"/>
      <c r="I12" s="82"/>
      <c r="J12" s="82"/>
      <c r="K12" s="82"/>
      <c r="N12" s="23"/>
      <c r="O12" s="23"/>
      <c r="P12" s="23"/>
      <c r="Q12" s="86"/>
    </row>
    <row r="13" spans="1:17" ht="20.25" customHeight="1" thickBot="1" x14ac:dyDescent="0.25">
      <c r="C13" s="13" t="s">
        <v>5</v>
      </c>
      <c r="D13" s="161">
        <v>18.521996720761113</v>
      </c>
      <c r="E13" s="163">
        <f>'ERROS_1309 (Opt)'!F5</f>
        <v>0.97361539690846666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1:17" ht="13.5" thickBot="1" x14ac:dyDescent="0.25">
      <c r="D14" s="19"/>
      <c r="E14" s="23"/>
      <c r="F14" s="4"/>
      <c r="G14" s="4"/>
      <c r="H14" s="4"/>
    </row>
    <row r="15" spans="1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1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6.6000000000000003E-2</v>
      </c>
      <c r="D18" s="132">
        <f>$C$18+$D$11*EXP(-EXP(($D$12*EXP(1))/$D$11*($D$13-B18)+1))</f>
        <v>6.6000000800822162E-2</v>
      </c>
      <c r="E18" s="133">
        <f t="shared" ref="E18:E30" si="0">(C18-D18)^2</f>
        <v>6.4131612968307106E-19</v>
      </c>
      <c r="F18" s="94">
        <v>0</v>
      </c>
      <c r="G18" s="94">
        <f t="shared" ref="G18:G56" si="1">$C$18+$D$11*EXP(-EXP(($D$12*EXP(1))/$D$11*($D$13-F18)+1))</f>
        <v>6.6000000800822162E-2</v>
      </c>
      <c r="H18" s="138"/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0.17399999999999999</v>
      </c>
      <c r="D19" s="132">
        <f t="shared" ref="D19:D30" si="2">$C$18+$D$11*EXP(-EXP(($D$12*EXP(1))/$D$11*($D$13-B19)+1))</f>
        <v>6.8035927482091141E-2</v>
      </c>
      <c r="E19" s="133">
        <f t="shared" si="0"/>
        <v>1.1228384664580645E-2</v>
      </c>
      <c r="F19" s="94">
        <v>1</v>
      </c>
      <c r="G19" s="94">
        <f t="shared" si="1"/>
        <v>6.6000009839531748E-2</v>
      </c>
      <c r="H19" s="138"/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0.18</v>
      </c>
      <c r="D20" s="132">
        <f t="shared" si="2"/>
        <v>7.2084357931687271E-2</v>
      </c>
      <c r="E20" s="133">
        <f t="shared" si="0"/>
        <v>1.1645785803016187E-2</v>
      </c>
      <c r="F20" s="94">
        <v>2</v>
      </c>
      <c r="G20" s="94">
        <f t="shared" si="1"/>
        <v>6.6000091985610701E-2</v>
      </c>
      <c r="H20" s="138"/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0.185</v>
      </c>
      <c r="D21" s="132">
        <f t="shared" si="2"/>
        <v>7.9304916159005062E-2</v>
      </c>
      <c r="E21" s="133">
        <f t="shared" si="0"/>
        <v>1.1171450748154949E-2</v>
      </c>
      <c r="F21" s="94">
        <v>3</v>
      </c>
      <c r="G21" s="94">
        <f t="shared" si="1"/>
        <v>6.6000674068307966E-2</v>
      </c>
      <c r="H21" s="138"/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0.2</v>
      </c>
      <c r="D22" s="132">
        <f t="shared" si="2"/>
        <v>9.6038332355466577E-2</v>
      </c>
      <c r="E22" s="133">
        <f t="shared" si="0"/>
        <v>1.0808028339432429E-2</v>
      </c>
      <c r="F22" s="94">
        <v>4</v>
      </c>
      <c r="G22" s="94">
        <f t="shared" si="1"/>
        <v>6.6003976024409883E-2</v>
      </c>
      <c r="H22" s="138"/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0.27500000000000002</v>
      </c>
      <c r="D23" s="132">
        <f>$C$18+$D$11*EXP(-EXP(($D$12*EXP(1))/$D$11*($D$13-B23)+1))</f>
        <v>0.1234515977335425</v>
      </c>
      <c r="E23" s="133">
        <f t="shared" si="0"/>
        <v>2.2966918229516027E-2</v>
      </c>
      <c r="F23" s="94">
        <v>5</v>
      </c>
      <c r="G23" s="94">
        <f t="shared" si="1"/>
        <v>6.6019329583599642E-2</v>
      </c>
      <c r="H23" s="138"/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0.32500000000000001</v>
      </c>
      <c r="D24" s="132">
        <f t="shared" si="2"/>
        <v>0.16437052812895936</v>
      </c>
      <c r="E24" s="133">
        <f t="shared" si="0"/>
        <v>2.5801827233569441E-2</v>
      </c>
      <c r="F24" s="94">
        <v>6</v>
      </c>
      <c r="G24" s="94">
        <f t="shared" si="1"/>
        <v>6.6079099344223333E-2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0.31</v>
      </c>
      <c r="D25" s="132">
        <f t="shared" si="2"/>
        <v>0.22484791645487426</v>
      </c>
      <c r="E25" s="133">
        <f t="shared" si="0"/>
        <v>7.2508773320760734E-3</v>
      </c>
      <c r="F25" s="94">
        <v>7</v>
      </c>
      <c r="G25" s="94">
        <f t="shared" si="1"/>
        <v>6.6277620844822527E-2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0.47</v>
      </c>
      <c r="D26" s="132">
        <f t="shared" si="2"/>
        <v>0.30945798271772751</v>
      </c>
      <c r="E26" s="133">
        <f t="shared" si="0"/>
        <v>2.5773739313061469E-2</v>
      </c>
      <c r="F26" s="94">
        <v>8</v>
      </c>
      <c r="G26" s="94">
        <f t="shared" si="1"/>
        <v>6.6849813848084153E-2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0.45</v>
      </c>
      <c r="D27" s="132">
        <f t="shared" si="2"/>
        <v>0.42217447886118475</v>
      </c>
      <c r="E27" s="133">
        <f t="shared" si="0"/>
        <v>7.7425962664665472E-4</v>
      </c>
      <c r="F27" s="94">
        <v>9</v>
      </c>
      <c r="G27" s="94">
        <f t="shared" si="1"/>
        <v>6.8302822397825314E-2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0.72</v>
      </c>
      <c r="D28" s="132">
        <f t="shared" si="2"/>
        <v>0.77546438774858961</v>
      </c>
      <c r="E28" s="133">
        <f t="shared" si="0"/>
        <v>3.0762983083259003E-3</v>
      </c>
      <c r="F28" s="94">
        <v>10</v>
      </c>
      <c r="G28" s="94">
        <f t="shared" si="1"/>
        <v>7.1597952431163528E-2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0.96599999999999997</v>
      </c>
      <c r="D29" s="132">
        <f t="shared" si="2"/>
        <v>1.1707463965605553</v>
      </c>
      <c r="E29" s="133">
        <f t="shared" si="0"/>
        <v>4.1921086904532202E-2</v>
      </c>
      <c r="F29" s="94">
        <v>11</v>
      </c>
      <c r="G29" s="94">
        <f t="shared" si="1"/>
        <v>7.8352900964122424E-2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4.9400000000000004</v>
      </c>
      <c r="D30" s="132">
        <f t="shared" si="2"/>
        <v>4.8676305975420906</v>
      </c>
      <c r="E30" s="133">
        <f t="shared" si="0"/>
        <v>5.2373304121149196E-3</v>
      </c>
      <c r="F30" s="94">
        <v>12</v>
      </c>
      <c r="G30" s="94">
        <f t="shared" si="1"/>
        <v>9.1006834367411082E-2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0.11287902882896855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0.14806618194196525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0.20116215115272174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0.27683260474945615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0.37931727992941405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0.51195051633357092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0.6767829518069739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0.87435983113859228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1.1036754571513712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1.3622898976401712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1.646570462170776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1.9520092852546729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2.2735683653100924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2.6060112404193725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2.9441922517884462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3.2832867646865167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3.6189565759913358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3.9474529329260979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4.2656648840179603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4.5711233984692674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4.8619724074656698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5.1369172803167009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5.395159820779285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5.6363271000154107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5.8603996421772138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6.0676428363410535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W73"/>
  <sheetViews>
    <sheetView topLeftCell="A19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'1309 (Opt)'!D8</f>
        <v>1.9739554101669655E-2</v>
      </c>
      <c r="E2" s="2">
        <f>SUM(D3:D5)</f>
        <v>6.8944738249663651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'1309 (Opt)'!D11</f>
        <v>8</v>
      </c>
      <c r="D3" s="10">
        <f>$D$2*G43</f>
        <v>5.9462868719311466</v>
      </c>
      <c r="E3" s="10"/>
      <c r="F3" s="11">
        <f>SQRT(D3)</f>
        <v>2.4385009476994561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'1309 (Opt)'!D12</f>
        <v>0.33948877828508761</v>
      </c>
      <c r="D4" s="10">
        <f>$D$2*H44</f>
        <v>2.6001193798747864E-4</v>
      </c>
      <c r="E4" s="10"/>
      <c r="F4" s="11">
        <f>SQRT(D4)</f>
        <v>1.6124885673625057E-2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'1309 (Opt)'!D13</f>
        <v>18.521996720761113</v>
      </c>
      <c r="D5" s="10">
        <f>$D$2*I45</f>
        <v>0.94792694109723108</v>
      </c>
      <c r="E5" s="10"/>
      <c r="F5" s="11">
        <f>SQRT(D5)</f>
        <v>0.97361539690846666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8.0000000000000004E-4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3.3948877828508764E-5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1.8521996720761112E-3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'1309 (Opt)'!B18</f>
        <v>0</v>
      </c>
      <c r="B22" s="4">
        <f>Q_LA($C$3,$C$4,$C$5,A22,$I$7)</f>
        <v>5.0361828250749165E-9</v>
      </c>
      <c r="C22" s="35">
        <f>Q_Lumax($C$3,$C$4,$C$5,A22,$I$8)</f>
        <v>-1.1577190332527975E-7</v>
      </c>
      <c r="D22" s="36">
        <f>Q_Llameda($C$3,$C$4,$C$5,A22,$I$9)</f>
        <v>-2.1219775930304473E-9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'1309 (Opt)'!B19</f>
        <v>8.8699999999999992</v>
      </c>
      <c r="B23" s="4">
        <f t="shared" ref="B23:B33" si="0">Q_LA($C$3,$C$4,$C$5,A23,$I$7)</f>
        <v>2.6004944711103877E-3</v>
      </c>
      <c r="C23" s="35">
        <f t="shared" ref="C23:C33" si="1">Q_Lumax($C$3,$C$4,$C$5,A23,$I$8)</f>
        <v>-5.5238440475067957E-2</v>
      </c>
      <c r="D23" s="36">
        <f t="shared" ref="D23:D33" si="2">Q_Llameda($C$3,$C$4,$C$5,A23,$I$9)</f>
        <v>-1.9421734537023612E-3</v>
      </c>
      <c r="E23" s="37">
        <v>2</v>
      </c>
      <c r="F23" s="40">
        <v>1</v>
      </c>
      <c r="G23" s="42">
        <v>5.0361828250749165E-9</v>
      </c>
      <c r="H23" s="42">
        <v>2.6004944711103877E-3</v>
      </c>
      <c r="I23" s="42">
        <v>6.0683360275789414E-3</v>
      </c>
      <c r="J23" s="42">
        <v>1.0776706837905582E-2</v>
      </c>
      <c r="K23" s="42">
        <v>1.8856029853540034E-2</v>
      </c>
      <c r="L23" s="42">
        <v>2.8333319864572507E-2</v>
      </c>
      <c r="M23" s="42">
        <v>3.8326942073414055E-2</v>
      </c>
      <c r="N23" s="42">
        <v>4.8332075561208221E-2</v>
      </c>
      <c r="O23" s="42">
        <v>5.7060478115197877E-2</v>
      </c>
      <c r="P23" s="42">
        <v>6.3252063786101154E-2</v>
      </c>
      <c r="Q23" s="42">
        <v>6.3948945379227462E-2</v>
      </c>
      <c r="R23" s="42">
        <v>5.1429047453477317E-2</v>
      </c>
      <c r="S23" s="42">
        <v>8.7769209977661689E-2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'1309 (Opt)'!B20</f>
        <v>10.1</v>
      </c>
      <c r="B24" s="4">
        <f t="shared" si="0"/>
        <v>6.0683360275789414E-3</v>
      </c>
      <c r="C24" s="35">
        <f t="shared" si="1"/>
        <v>-0.12500218530439663</v>
      </c>
      <c r="D24" s="36">
        <f t="shared" si="2"/>
        <v>-5.0369957115263706E-3</v>
      </c>
      <c r="E24" s="37">
        <v>3</v>
      </c>
      <c r="F24" s="43">
        <v>2</v>
      </c>
      <c r="G24" s="42">
        <v>-1.1577190332527975E-7</v>
      </c>
      <c r="H24" s="42">
        <v>-5.5238440475067957E-2</v>
      </c>
      <c r="I24" s="42">
        <v>-0.12500218530439663</v>
      </c>
      <c r="J24" s="42">
        <v>-0.21466113527408465</v>
      </c>
      <c r="K24" s="42">
        <v>-0.35574087126061815</v>
      </c>
      <c r="L24" s="42">
        <v>-0.49832348014963451</v>
      </c>
      <c r="M24" s="42">
        <v>-0.61330732384998821</v>
      </c>
      <c r="N24" s="42">
        <v>-0.67096284663031358</v>
      </c>
      <c r="O24" s="42">
        <v>-0.62745090565313066</v>
      </c>
      <c r="P24" s="42">
        <v>-0.44136290598245698</v>
      </c>
      <c r="Q24" s="42">
        <v>0.58286481930730361</v>
      </c>
      <c r="R24" s="42">
        <v>2.0422929846373754</v>
      </c>
      <c r="S24" s="42">
        <v>12.074453127457186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'1309 (Opt)'!B21</f>
        <v>11.1</v>
      </c>
      <c r="B25" s="4">
        <f t="shared" si="0"/>
        <v>1.0776706837905582E-2</v>
      </c>
      <c r="C25" s="35">
        <f t="shared" si="1"/>
        <v>-0.21466113527408465</v>
      </c>
      <c r="D25" s="36">
        <f t="shared" si="2"/>
        <v>-9.8153993503359849E-3</v>
      </c>
      <c r="E25" s="37">
        <v>4</v>
      </c>
      <c r="F25" s="43">
        <v>3</v>
      </c>
      <c r="G25" s="42">
        <v>-2.1219775930304473E-9</v>
      </c>
      <c r="H25" s="42">
        <v>-1.9421734537023612E-3</v>
      </c>
      <c r="I25" s="42">
        <v>-5.0369957115263706E-3</v>
      </c>
      <c r="J25" s="42">
        <v>-9.8153993503359849E-3</v>
      </c>
      <c r="K25" s="42">
        <v>-1.9341699237746826E-2</v>
      </c>
      <c r="L25" s="42">
        <v>-3.269993595302053E-2</v>
      </c>
      <c r="M25" s="42">
        <v>-4.9892751394574261E-2</v>
      </c>
      <c r="N25" s="42">
        <v>-7.1792473463836382E-2</v>
      </c>
      <c r="O25" s="42">
        <v>-9.8049172620803968E-2</v>
      </c>
      <c r="P25" s="42">
        <v>-0.1278212540670057</v>
      </c>
      <c r="Q25" s="42">
        <v>-0.1982402010242135</v>
      </c>
      <c r="R25" s="42">
        <v>-0.2522748827593661</v>
      </c>
      <c r="S25" s="42">
        <v>-0.28276469698197887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'1309 (Opt)'!B22</f>
        <v>12.28</v>
      </c>
      <c r="B26" s="4">
        <f t="shared" si="0"/>
        <v>1.8856029853540034E-2</v>
      </c>
      <c r="C26" s="35">
        <f t="shared" si="1"/>
        <v>-0.35574087126061815</v>
      </c>
      <c r="D26" s="36">
        <f t="shared" si="2"/>
        <v>-1.9341699237746826E-2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'1309 (Opt)'!B23</f>
        <v>13.35</v>
      </c>
      <c r="B27" s="4">
        <f t="shared" si="0"/>
        <v>2.8333319864572507E-2</v>
      </c>
      <c r="C27" s="35">
        <f t="shared" si="1"/>
        <v>-0.49832348014963451</v>
      </c>
      <c r="D27" s="36">
        <f t="shared" si="2"/>
        <v>-3.269993595302053E-2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'1309 (Opt)'!B24</f>
        <v>14.35</v>
      </c>
      <c r="B28" s="4">
        <f t="shared" si="0"/>
        <v>3.8326942073414055E-2</v>
      </c>
      <c r="C28" s="35">
        <f t="shared" si="1"/>
        <v>-0.61330732384998821</v>
      </c>
      <c r="D28" s="36">
        <f t="shared" si="2"/>
        <v>-4.9892751394574261E-2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'1309 (Opt)'!B25</f>
        <v>15.35</v>
      </c>
      <c r="B29" s="4">
        <f t="shared" si="0"/>
        <v>4.8332075561208221E-2</v>
      </c>
      <c r="C29" s="35">
        <f t="shared" si="1"/>
        <v>-0.67096284663031358</v>
      </c>
      <c r="D29" s="36">
        <f t="shared" si="2"/>
        <v>-7.1792473463836382E-2</v>
      </c>
      <c r="E29" s="37">
        <v>8</v>
      </c>
    </row>
    <row r="30" spans="1:49" ht="13.5" thickBot="1" x14ac:dyDescent="0.25">
      <c r="A30" s="34">
        <f>'1309 (Opt)'!B26</f>
        <v>16.350000000000001</v>
      </c>
      <c r="B30" s="4">
        <f t="shared" si="0"/>
        <v>5.7060478115197877E-2</v>
      </c>
      <c r="C30" s="35">
        <f t="shared" si="1"/>
        <v>-0.62745090565313066</v>
      </c>
      <c r="D30" s="36">
        <f t="shared" si="2"/>
        <v>-9.8049172620803968E-2</v>
      </c>
      <c r="E30" s="37">
        <v>9</v>
      </c>
      <c r="J30" s="48"/>
      <c r="K30" s="49"/>
      <c r="L30" s="49"/>
    </row>
    <row r="31" spans="1:49" ht="13.5" thickBot="1" x14ac:dyDescent="0.25">
      <c r="A31" s="34">
        <f>'1309 (Opt)'!B27</f>
        <v>17.350000000000001</v>
      </c>
      <c r="B31" s="4">
        <f t="shared" si="0"/>
        <v>6.3252063786101154E-2</v>
      </c>
      <c r="C31" s="35">
        <f t="shared" si="1"/>
        <v>-0.44136290598245698</v>
      </c>
      <c r="D31" s="36">
        <f t="shared" si="2"/>
        <v>-0.1278212540670057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'1309 (Opt)'!B28</f>
        <v>19.52</v>
      </c>
      <c r="B32" s="4">
        <f t="shared" si="0"/>
        <v>6.3948945379227462E-2</v>
      </c>
      <c r="C32" s="35">
        <f t="shared" si="1"/>
        <v>0.58286481930730361</v>
      </c>
      <c r="D32" s="36">
        <f t="shared" si="2"/>
        <v>-0.1982402010242135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'1309 (Opt)'!B29</f>
        <v>21.27</v>
      </c>
      <c r="B33" s="4">
        <f t="shared" si="0"/>
        <v>5.1429047453477317E-2</v>
      </c>
      <c r="C33" s="35">
        <f t="shared" si="1"/>
        <v>2.0422929846373754</v>
      </c>
      <c r="D33" s="36">
        <f t="shared" si="2"/>
        <v>-0.2522748827593661</v>
      </c>
      <c r="E33" s="37">
        <v>12</v>
      </c>
      <c r="F33" s="52">
        <v>1</v>
      </c>
      <c r="G33" s="53">
        <f t="array" ref="G33:I35">MMULT(G23:S25,B22:D34)</f>
        <v>2.6817566070173316E-2</v>
      </c>
      <c r="H33" s="54">
        <v>1.0583744388987779</v>
      </c>
      <c r="I33" s="55">
        <v>-7.0963949274793117E-2</v>
      </c>
      <c r="J33" s="48"/>
      <c r="K33" s="48"/>
      <c r="L33" s="48"/>
    </row>
    <row r="34" spans="1:12" ht="13.5" thickBot="1" x14ac:dyDescent="0.25">
      <c r="A34" s="34">
        <f>'1309 (Opt)'!B30</f>
        <v>33.020000000000003</v>
      </c>
      <c r="B34" s="4">
        <f t="shared" ref="B34" si="3">Q_LA($C$3,$C$4,$C$5,A34,$I$7)</f>
        <v>8.7769209977661689E-2</v>
      </c>
      <c r="C34" s="35">
        <f t="shared" ref="C34" si="4">Q_Lumax($C$3,$C$4,$C$5,A34,$I$8)</f>
        <v>12.074453127457186</v>
      </c>
      <c r="D34" s="36">
        <f t="shared" ref="D34" si="5">Q_Llameda($C$3,$C$4,$C$5,A34,$I$9)</f>
        <v>-0.28276469698197887</v>
      </c>
      <c r="E34" s="37">
        <v>13</v>
      </c>
      <c r="F34" s="62">
        <v>2</v>
      </c>
      <c r="G34" s="56">
        <v>1.0583744388987779</v>
      </c>
      <c r="H34" s="57">
        <v>152.15757732166216</v>
      </c>
      <c r="I34" s="58">
        <v>-3.8222695858225721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-7.0963949274793117E-2</v>
      </c>
      <c r="H35" s="60">
        <v>-3.8222695858225721</v>
      </c>
      <c r="I35" s="61">
        <v>0.21806189933200937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301.23714250608043</v>
      </c>
      <c r="H43" s="73">
        <v>0.6562030043081658</v>
      </c>
      <c r="I43" s="74">
        <v>109.53386244522868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0.65620300430816547</v>
      </c>
      <c r="H44" s="76">
        <v>1.3172128237966922E-2</v>
      </c>
      <c r="I44" s="77">
        <v>0.44443427372275979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109.53386244522868</v>
      </c>
      <c r="H45" s="76">
        <v>0.44443427372275979</v>
      </c>
      <c r="I45" s="78">
        <v>48.021699791944712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>
    <tabColor theme="8"/>
  </sheetPr>
  <dimension ref="A1:U333"/>
  <sheetViews>
    <sheetView tabSelected="1" zoomScale="80" zoomScaleNormal="80" workbookViewId="0">
      <selection activeCell="B3" sqref="B3"/>
    </sheetView>
  </sheetViews>
  <sheetFormatPr defaultColWidth="11.42578125" defaultRowHeight="12.75" x14ac:dyDescent="0.2"/>
  <cols>
    <col min="1" max="1" width="13.5703125" style="2" bestFit="1" customWidth="1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1" spans="1:17" ht="28.5" x14ac:dyDescent="0.45">
      <c r="A1" s="182" t="s">
        <v>62</v>
      </c>
      <c r="B1" s="2" t="s">
        <v>66</v>
      </c>
    </row>
    <row r="3" spans="1:17" ht="18.75" x14ac:dyDescent="0.3">
      <c r="D3" s="113" t="s">
        <v>21</v>
      </c>
      <c r="E3" s="91"/>
      <c r="F3" s="19"/>
      <c r="G3" s="85"/>
    </row>
    <row r="4" spans="1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1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1:17" ht="30.75" customHeight="1" x14ac:dyDescent="0.2">
      <c r="C6" s="110">
        <f>DEVSQ(D18:D86)</f>
        <v>16.959757970582441</v>
      </c>
      <c r="D6" s="126">
        <f>SUM(E18:E86)</f>
        <v>2.9792668036772083E-2</v>
      </c>
      <c r="E6" s="111">
        <f>$C$6-$D$6</f>
        <v>16.929965302545668</v>
      </c>
      <c r="F6" s="112">
        <f>$E$6/$C$6</f>
        <v>0.99824333176874047</v>
      </c>
      <c r="G6" s="90"/>
      <c r="H6" s="87"/>
      <c r="I6" s="23"/>
      <c r="O6" s="23"/>
      <c r="P6" s="23"/>
      <c r="Q6" s="86"/>
    </row>
    <row r="7" spans="1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1:17" ht="30.75" customHeight="1" x14ac:dyDescent="0.2">
      <c r="C8" s="105">
        <f>SQRT(F6)</f>
        <v>0.99912127980978394</v>
      </c>
      <c r="D8" s="2">
        <f>D6/(COUNT(E18:E51)-COUNT(D11:D13)-1)</f>
        <v>3.3102964485302315E-3</v>
      </c>
      <c r="E8" s="2">
        <f>(E6/1)</f>
        <v>16.929965302545668</v>
      </c>
      <c r="F8" s="2">
        <f>E8/D8</f>
        <v>5114.3350952941255</v>
      </c>
      <c r="G8" s="90"/>
      <c r="H8" s="89"/>
      <c r="I8" s="23"/>
      <c r="O8" s="90"/>
      <c r="P8" s="90"/>
      <c r="Q8" s="90"/>
    </row>
    <row r="9" spans="1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1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1:17" ht="20.25" customHeight="1" thickBot="1" x14ac:dyDescent="0.25">
      <c r="C11" s="8" t="s">
        <v>4</v>
      </c>
      <c r="D11" s="161">
        <v>5.0538819186910189</v>
      </c>
      <c r="E11" s="163">
        <f>'ERROS_1303 (Opt)'!F3</f>
        <v>0.14845776823223697</v>
      </c>
      <c r="F11" s="2">
        <f>(D11-'1257 (Opt)'!D11)/D11</f>
        <v>0.22482131683706558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1:17" ht="20.25" customHeight="1" thickBot="1" x14ac:dyDescent="0.25">
      <c r="C12" s="8" t="s">
        <v>6</v>
      </c>
      <c r="D12" s="161">
        <v>0.2484735280315678</v>
      </c>
      <c r="E12" s="163">
        <f>'ERROS_1303 (Opt)'!F4</f>
        <v>6.9616594303676064E-3</v>
      </c>
      <c r="F12" s="2">
        <f>(D12-'1257 (Opt)'!D12)/D12</f>
        <v>0.31693335845396092</v>
      </c>
      <c r="H12" s="82"/>
      <c r="I12" s="82"/>
      <c r="J12" s="82"/>
      <c r="K12" s="82"/>
      <c r="N12" s="23"/>
      <c r="O12" s="23"/>
      <c r="P12" s="23"/>
      <c r="Q12" s="86"/>
    </row>
    <row r="13" spans="1:17" ht="20.25" customHeight="1" thickBot="1" x14ac:dyDescent="0.25">
      <c r="C13" s="13" t="s">
        <v>5</v>
      </c>
      <c r="D13" s="161">
        <v>12.31238302234212</v>
      </c>
      <c r="E13" s="163">
        <f>'ERROS_1303 (Opt)'!F5</f>
        <v>0.1620232472313286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1:17" ht="13.5" thickBot="1" x14ac:dyDescent="0.25">
      <c r="D14" s="19"/>
      <c r="E14" s="23"/>
      <c r="F14" s="4"/>
      <c r="G14" s="4"/>
      <c r="H14" s="4"/>
    </row>
    <row r="15" spans="1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1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7.3999999999999996E-2</v>
      </c>
      <c r="D18" s="132">
        <f>$C$18+$D$11*EXP(-EXP(($D$12*EXP(1))/$D$11*($D$13-B18)+1))</f>
        <v>7.4003840153660183E-2</v>
      </c>
      <c r="E18" s="133">
        <f t="shared" ref="E18:E30" si="0">(C18-D18)^2</f>
        <v>1.4746780133845704E-11</v>
      </c>
      <c r="F18" s="94">
        <v>0</v>
      </c>
      <c r="G18" s="94">
        <f t="shared" ref="G18:G56" si="1">$C$18+$D$11*EXP(-EXP(($D$12*EXP(1))/$D$11*($D$13-F18)+1))</f>
        <v>7.4003840153660183E-2</v>
      </c>
      <c r="H18" s="138"/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0.222</v>
      </c>
      <c r="D19" s="132">
        <f t="shared" ref="D19:D30" si="2">$C$18+$D$11*EXP(-EXP(($D$12*EXP(1))/$D$11*($D$13-B19)+1))</f>
        <v>0.14215062529060241</v>
      </c>
      <c r="E19" s="133">
        <f t="shared" si="0"/>
        <v>6.3759226414817844E-3</v>
      </c>
      <c r="F19" s="94">
        <v>1</v>
      </c>
      <c r="G19" s="94">
        <f t="shared" si="1"/>
        <v>7.4022380055368028E-2</v>
      </c>
      <c r="H19" s="138"/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0.245</v>
      </c>
      <c r="D20" s="132">
        <f t="shared" si="2"/>
        <v>0.20490378157360556</v>
      </c>
      <c r="E20" s="133">
        <f t="shared" si="0"/>
        <v>1.6077067320971327E-3</v>
      </c>
      <c r="F20" s="94">
        <v>2</v>
      </c>
      <c r="G20" s="94">
        <f t="shared" si="1"/>
        <v>7.4104618673191791E-2</v>
      </c>
      <c r="H20" s="138"/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0.35</v>
      </c>
      <c r="D21" s="132">
        <f t="shared" si="2"/>
        <v>0.28074863721431648</v>
      </c>
      <c r="E21" s="133">
        <f t="shared" si="0"/>
        <v>4.7957512476743498E-3</v>
      </c>
      <c r="F21" s="94">
        <v>3</v>
      </c>
      <c r="G21" s="94">
        <f t="shared" si="1"/>
        <v>7.4403248495530483E-2</v>
      </c>
      <c r="H21" s="138"/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0.43</v>
      </c>
      <c r="D22" s="132">
        <f t="shared" si="2"/>
        <v>0.40358702444468975</v>
      </c>
      <c r="E22" s="133">
        <f t="shared" si="0"/>
        <v>6.9764527768541665E-4</v>
      </c>
      <c r="F22" s="94">
        <v>4</v>
      </c>
      <c r="G22" s="94">
        <f t="shared" si="1"/>
        <v>7.5312904447094542E-2</v>
      </c>
      <c r="H22" s="138"/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0.54</v>
      </c>
      <c r="D23" s="132">
        <f>$C$18+$D$11*EXP(-EXP(($D$12*EXP(1))/$D$11*($D$13-B23)+1))</f>
        <v>0.54819053402753104</v>
      </c>
      <c r="E23" s="133">
        <f t="shared" si="0"/>
        <v>6.7084847656143258E-5</v>
      </c>
      <c r="F23" s="94">
        <v>5</v>
      </c>
      <c r="G23" s="94">
        <f t="shared" si="1"/>
        <v>7.7687741070060934E-2</v>
      </c>
      <c r="H23" s="138"/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0.69</v>
      </c>
      <c r="D24" s="132">
        <f t="shared" si="2"/>
        <v>0.71154841915809519</v>
      </c>
      <c r="E24" s="133">
        <f t="shared" si="0"/>
        <v>4.6433436821296614E-4</v>
      </c>
      <c r="F24" s="94">
        <v>6</v>
      </c>
      <c r="G24" s="94">
        <f t="shared" si="1"/>
        <v>8.3102854693452202E-2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0.83</v>
      </c>
      <c r="D25" s="132">
        <f t="shared" si="2"/>
        <v>0.90002037758100784</v>
      </c>
      <c r="E25" s="133">
        <f t="shared" si="0"/>
        <v>4.90285327658691E-3</v>
      </c>
      <c r="F25" s="94">
        <v>7</v>
      </c>
      <c r="G25" s="94">
        <f t="shared" si="1"/>
        <v>9.4067994944159447E-2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1.1000000000000001</v>
      </c>
      <c r="D26" s="132">
        <f t="shared" si="2"/>
        <v>1.1100902035281677</v>
      </c>
      <c r="E26" s="133">
        <f t="shared" si="0"/>
        <v>1.0181220723984558E-4</v>
      </c>
      <c r="F26" s="94">
        <v>8</v>
      </c>
      <c r="G26" s="94">
        <f t="shared" si="1"/>
        <v>0.11407566408545508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1.3</v>
      </c>
      <c r="D27" s="132">
        <f t="shared" si="2"/>
        <v>1.3372631439474107</v>
      </c>
      <c r="E27" s="133">
        <f t="shared" si="0"/>
        <v>1.3885418968454511E-3</v>
      </c>
      <c r="F27" s="94">
        <v>9</v>
      </c>
      <c r="G27" s="94">
        <f t="shared" si="1"/>
        <v>0.14739741763160807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1.84</v>
      </c>
      <c r="D28" s="132">
        <f t="shared" si="2"/>
        <v>1.8649175319330227</v>
      </c>
      <c r="E28" s="133">
        <f t="shared" si="0"/>
        <v>6.2088339763320081E-4</v>
      </c>
      <c r="F28" s="94">
        <v>10</v>
      </c>
      <c r="G28" s="94">
        <f t="shared" si="1"/>
        <v>0.19862493073077914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2.39</v>
      </c>
      <c r="D29" s="132">
        <f t="shared" si="2"/>
        <v>2.2974817540608932</v>
      </c>
      <c r="E29" s="133">
        <f t="shared" si="0"/>
        <v>8.5596258316490807E-3</v>
      </c>
      <c r="F29" s="94">
        <v>11</v>
      </c>
      <c r="G29" s="94">
        <f t="shared" si="1"/>
        <v>0.27204592200165312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4.32</v>
      </c>
      <c r="D30" s="132">
        <f t="shared" si="2"/>
        <v>4.3345088351449395</v>
      </c>
      <c r="E30" s="133">
        <f t="shared" si="0"/>
        <v>2.1050629726302201E-4</v>
      </c>
      <c r="F30" s="94">
        <v>12</v>
      </c>
      <c r="G30" s="94">
        <f t="shared" si="1"/>
        <v>0.37100375102471184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0.49739050864579981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0.65137467479679623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0.83139335713550089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1.0343746068589854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1.2561151591341386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1.49172704742413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1.7360767728375095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1.9841629796771958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2.2314035832597088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2.473824800649826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2.7081597149183594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2.9318725836205393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3.1431282551107609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3.3407254713991255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3.5240101267392552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3.692780974138631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3.8471966644666526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3.9876898342797569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4.114891427252819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4.2295665646226723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4.3325620012964432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4.4247644047964743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4.5070682561111823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4.5803519886374673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4.645460966899166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4.7031959943696817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W73"/>
  <sheetViews>
    <sheetView topLeftCell="A19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'1303 (Opt)'!D8</f>
        <v>3.3102964485302315E-3</v>
      </c>
      <c r="E2" s="2">
        <f>SUM(D3:D5)</f>
        <v>4.8339706293905257E-2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'1303 (Opt)'!D11</f>
        <v>5.0538819186910189</v>
      </c>
      <c r="D3" s="10">
        <f>$D$2*G43</f>
        <v>2.2039708948496592E-2</v>
      </c>
      <c r="E3" s="10"/>
      <c r="F3" s="11">
        <f>SQRT(D3)</f>
        <v>0.14845776823223697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'1303 (Opt)'!D12</f>
        <v>0.2484735280315678</v>
      </c>
      <c r="D4" s="10">
        <f>$D$2*H44</f>
        <v>4.846470202442623E-5</v>
      </c>
      <c r="E4" s="10"/>
      <c r="F4" s="11">
        <f>SQRT(D4)</f>
        <v>6.9616594303676064E-3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'1303 (Opt)'!D13</f>
        <v>12.31238302234212</v>
      </c>
      <c r="D5" s="10">
        <f>$D$2*I45</f>
        <v>2.6251532643384236E-2</v>
      </c>
      <c r="E5" s="10"/>
      <c r="F5" s="11">
        <f>SQRT(D5)</f>
        <v>0.1620232472313286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5.0538819186910194E-4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2.484735280315678E-5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1.231238302234212E-3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'1303 (Opt)'!B18</f>
        <v>0</v>
      </c>
      <c r="B22" s="4">
        <f>Q_LA($C$3,$C$4,$C$5,A22,$I$7)</f>
        <v>1.8395783772376203E-5</v>
      </c>
      <c r="C22" s="35">
        <f>Q_Lumax($C$3,$C$4,$C$5,A22,$I$8)</f>
        <v>-3.5793833003510453E-4</v>
      </c>
      <c r="D22" s="36">
        <f>Q_Llameda($C$3,$C$4,$C$5,A22,$I$9)</f>
        <v>-7.2234757089638184E-6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'1303 (Opt)'!B19</f>
        <v>8.8699999999999992</v>
      </c>
      <c r="B23" s="4">
        <f t="shared" ref="B23:B33" si="0">Q_LA($C$3,$C$4,$C$5,A23,$I$7)</f>
        <v>4.0201324457983682E-2</v>
      </c>
      <c r="C23" s="35">
        <f t="shared" ref="C23:C33" si="1">Q_Lumax($C$3,$C$4,$C$5,A23,$I$8)</f>
        <v>-0.54332382178750882</v>
      </c>
      <c r="D23" s="36">
        <f t="shared" ref="D23:D33" si="2">Q_Llameda($C$3,$C$4,$C$5,A23,$I$9)</f>
        <v>-3.9209795237040934E-2</v>
      </c>
      <c r="E23" s="37">
        <v>2</v>
      </c>
      <c r="F23" s="40">
        <v>1</v>
      </c>
      <c r="G23" s="42">
        <v>1.8395783772376203E-5</v>
      </c>
      <c r="H23" s="42">
        <v>4.0201324457983682E-2</v>
      </c>
      <c r="I23" s="42">
        <v>5.3882233024283598E-2</v>
      </c>
      <c r="J23" s="42">
        <v>6.2096239801694479E-2</v>
      </c>
      <c r="K23" s="42">
        <v>6.5985150908894882E-2</v>
      </c>
      <c r="L23" s="42">
        <v>6.3039055922995982E-2</v>
      </c>
      <c r="M23" s="42">
        <v>5.5031629516390061E-2</v>
      </c>
      <c r="N23" s="42">
        <v>4.3263464005206857E-2</v>
      </c>
      <c r="O23" s="42">
        <v>2.9706336838184716E-2</v>
      </c>
      <c r="P23" s="42">
        <v>1.6642925752184175E-2</v>
      </c>
      <c r="Q23" s="42">
        <v>2.4581315575167572E-4</v>
      </c>
      <c r="R23" s="42">
        <v>7.4993152912552511E-3</v>
      </c>
      <c r="S23" s="42">
        <v>0.4445683503297414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'1303 (Opt)'!B20</f>
        <v>10.1</v>
      </c>
      <c r="B24" s="4">
        <f t="shared" si="0"/>
        <v>5.3882233024283598E-2</v>
      </c>
      <c r="C24" s="35">
        <f t="shared" si="1"/>
        <v>-0.56907296879177149</v>
      </c>
      <c r="D24" s="36">
        <f t="shared" si="2"/>
        <v>-6.3901343406617975E-2</v>
      </c>
      <c r="E24" s="37">
        <v>3</v>
      </c>
      <c r="F24" s="43">
        <v>2</v>
      </c>
      <c r="G24" s="42">
        <v>-3.5793833003510453E-4</v>
      </c>
      <c r="H24" s="42">
        <v>-0.54332382178750882</v>
      </c>
      <c r="I24" s="42">
        <v>-0.56907296879177149</v>
      </c>
      <c r="J24" s="42">
        <v>-0.43092967185060699</v>
      </c>
      <c r="K24" s="42">
        <v>-1.5672227736119728E-2</v>
      </c>
      <c r="L24" s="42">
        <v>0.62622983751836925</v>
      </c>
      <c r="M24" s="42">
        <v>1.4465747713799562</v>
      </c>
      <c r="N24" s="42">
        <v>2.4444935730068309</v>
      </c>
      <c r="O24" s="42">
        <v>3.5657152035538964</v>
      </c>
      <c r="P24" s="42">
        <v>4.7457065146794841</v>
      </c>
      <c r="Q24" s="42">
        <v>7.2027056061199781</v>
      </c>
      <c r="R24" s="42">
        <v>8.795843596380216</v>
      </c>
      <c r="S24" s="42">
        <v>8.1024761933876146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'1303 (Opt)'!B21</f>
        <v>11.1</v>
      </c>
      <c r="B25" s="4">
        <f t="shared" si="0"/>
        <v>6.2096239801694479E-2</v>
      </c>
      <c r="C25" s="35">
        <f t="shared" si="1"/>
        <v>-0.43092967185060699</v>
      </c>
      <c r="D25" s="36">
        <f t="shared" si="2"/>
        <v>-8.8303094446802413E-2</v>
      </c>
      <c r="E25" s="37">
        <v>4</v>
      </c>
      <c r="F25" s="43">
        <v>3</v>
      </c>
      <c r="G25" s="42">
        <v>-7.2234757089638184E-6</v>
      </c>
      <c r="H25" s="42">
        <v>-3.9209795237040934E-2</v>
      </c>
      <c r="I25" s="42">
        <v>-6.3901343406617975E-2</v>
      </c>
      <c r="J25" s="42">
        <v>-8.8303094446802413E-2</v>
      </c>
      <c r="K25" s="42">
        <v>-0.12023525325237928</v>
      </c>
      <c r="L25" s="42">
        <v>-0.14994219918039139</v>
      </c>
      <c r="M25" s="42">
        <v>-0.17638184779814689</v>
      </c>
      <c r="N25" s="42">
        <v>-0.1999400846489493</v>
      </c>
      <c r="O25" s="42">
        <v>-0.21941884042455873</v>
      </c>
      <c r="P25" s="42">
        <v>-0.23406495738604363</v>
      </c>
      <c r="Q25" s="42">
        <v>-0.24830300167987268</v>
      </c>
      <c r="R25" s="42">
        <v>-0.24399233302249401</v>
      </c>
      <c r="S25" s="42">
        <v>-9.7240510086635215E-2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'1303 (Opt)'!B22</f>
        <v>12.28</v>
      </c>
      <c r="B26" s="4">
        <f t="shared" si="0"/>
        <v>6.5985150908894882E-2</v>
      </c>
      <c r="C26" s="35">
        <f t="shared" si="1"/>
        <v>-1.5672227736119728E-2</v>
      </c>
      <c r="D26" s="36">
        <f t="shared" si="2"/>
        <v>-0.12023525325237928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'1303 (Opt)'!B23</f>
        <v>13.35</v>
      </c>
      <c r="B27" s="4">
        <f t="shared" si="0"/>
        <v>6.3039055922995982E-2</v>
      </c>
      <c r="C27" s="35">
        <f t="shared" si="1"/>
        <v>0.62622983751836925</v>
      </c>
      <c r="D27" s="36">
        <f t="shared" si="2"/>
        <v>-0.14994219918039139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'1303 (Opt)'!B24</f>
        <v>14.35</v>
      </c>
      <c r="B28" s="4">
        <f t="shared" si="0"/>
        <v>5.5031629516390061E-2</v>
      </c>
      <c r="C28" s="35">
        <f t="shared" si="1"/>
        <v>1.4465747713799562</v>
      </c>
      <c r="D28" s="36">
        <f t="shared" si="2"/>
        <v>-0.17638184779814689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'1303 (Opt)'!B25</f>
        <v>15.35</v>
      </c>
      <c r="B29" s="4">
        <f t="shared" si="0"/>
        <v>4.3263464005206857E-2</v>
      </c>
      <c r="C29" s="35">
        <f t="shared" si="1"/>
        <v>2.4444935730068309</v>
      </c>
      <c r="D29" s="36">
        <f t="shared" si="2"/>
        <v>-0.1999400846489493</v>
      </c>
      <c r="E29" s="37">
        <v>8</v>
      </c>
    </row>
    <row r="30" spans="1:49" ht="13.5" thickBot="1" x14ac:dyDescent="0.25">
      <c r="A30" s="34">
        <f>'1303 (Opt)'!B26</f>
        <v>16.350000000000001</v>
      </c>
      <c r="B30" s="4">
        <f t="shared" si="0"/>
        <v>2.9706336838184716E-2</v>
      </c>
      <c r="C30" s="35">
        <f t="shared" si="1"/>
        <v>3.5657152035538964</v>
      </c>
      <c r="D30" s="36">
        <f t="shared" si="2"/>
        <v>-0.21941884042455873</v>
      </c>
      <c r="E30" s="37">
        <v>9</v>
      </c>
      <c r="J30" s="48"/>
      <c r="K30" s="49"/>
      <c r="L30" s="49"/>
    </row>
    <row r="31" spans="1:49" ht="13.5" thickBot="1" x14ac:dyDescent="0.25">
      <c r="A31" s="34">
        <f>'1303 (Opt)'!B27</f>
        <v>17.350000000000001</v>
      </c>
      <c r="B31" s="4">
        <f t="shared" si="0"/>
        <v>1.6642925752184175E-2</v>
      </c>
      <c r="C31" s="35">
        <f t="shared" si="1"/>
        <v>4.7457065146794841</v>
      </c>
      <c r="D31" s="36">
        <f t="shared" si="2"/>
        <v>-0.23406495738604363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'1303 (Opt)'!B28</f>
        <v>19.52</v>
      </c>
      <c r="B32" s="4">
        <f t="shared" si="0"/>
        <v>2.4581315575167572E-4</v>
      </c>
      <c r="C32" s="35">
        <f t="shared" si="1"/>
        <v>7.2027056061199781</v>
      </c>
      <c r="D32" s="36">
        <f t="shared" si="2"/>
        <v>-0.24830300167987268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'1303 (Opt)'!B29</f>
        <v>21.27</v>
      </c>
      <c r="B33" s="4">
        <f t="shared" si="0"/>
        <v>7.4993152912552511E-3</v>
      </c>
      <c r="C33" s="35">
        <f t="shared" si="1"/>
        <v>8.795843596380216</v>
      </c>
      <c r="D33" s="36">
        <f t="shared" si="2"/>
        <v>-0.24399233302249401</v>
      </c>
      <c r="E33" s="37">
        <v>12</v>
      </c>
      <c r="F33" s="52">
        <v>1</v>
      </c>
      <c r="G33" s="53">
        <f t="array" ref="G33:I35">MMULT(G23:S25,B22:D34)</f>
        <v>0.22046032683165423</v>
      </c>
      <c r="H33" s="54">
        <v>3.9992876287740793</v>
      </c>
      <c r="I33" s="55">
        <v>-0.10177988062587434</v>
      </c>
      <c r="J33" s="48"/>
      <c r="K33" s="48"/>
      <c r="L33" s="48"/>
    </row>
    <row r="34" spans="1:12" ht="13.5" thickBot="1" x14ac:dyDescent="0.25">
      <c r="A34" s="34">
        <f>'1303 (Opt)'!B30</f>
        <v>33.020000000000003</v>
      </c>
      <c r="B34" s="4">
        <f t="shared" ref="B34" si="3">Q_LA($C$3,$C$4,$C$5,A34,$I$7)</f>
        <v>0.4445683503297414</v>
      </c>
      <c r="C34" s="35">
        <f t="shared" ref="C34" si="4">Q_Lumax($C$3,$C$4,$C$5,A34,$I$8)</f>
        <v>8.1024761933876146</v>
      </c>
      <c r="D34" s="36">
        <f t="shared" ref="D34" si="5">Q_Llameda($C$3,$C$4,$C$5,A34,$I$9)</f>
        <v>-9.7240510086635215E-2</v>
      </c>
      <c r="E34" s="37">
        <v>13</v>
      </c>
      <c r="F34" s="62">
        <v>2</v>
      </c>
      <c r="G34" s="56">
        <v>3.9992876287740793</v>
      </c>
      <c r="H34" s="57">
        <v>239.39729047627233</v>
      </c>
      <c r="I34" s="58">
        <v>-7.355844567303965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-0.10177988062587434</v>
      </c>
      <c r="H35" s="60">
        <v>-7.355844567303965</v>
      </c>
      <c r="I35" s="61">
        <v>0.35501738700288615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6.6579260471617889</v>
      </c>
      <c r="H43" s="73">
        <v>-0.1446938097505856</v>
      </c>
      <c r="I43" s="74">
        <v>-1.0892487811510749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-0.14469380975058566</v>
      </c>
      <c r="H44" s="76">
        <v>1.4640592701582517E-2</v>
      </c>
      <c r="I44" s="77">
        <v>0.26186606348261043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-1.0892487811510732</v>
      </c>
      <c r="H45" s="76">
        <v>0.26186606348261043</v>
      </c>
      <c r="I45" s="78">
        <v>7.9302663829518627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>
    <tabColor theme="8"/>
  </sheetPr>
  <dimension ref="B1:U333"/>
  <sheetViews>
    <sheetView topLeftCell="C1" zoomScale="80" zoomScaleNormal="80" workbookViewId="0">
      <selection activeCell="D1" sqref="D1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1" spans="2:17" ht="28.5" x14ac:dyDescent="0.45">
      <c r="C1" s="182" t="s">
        <v>63</v>
      </c>
      <c r="D1" s="2" t="s">
        <v>64</v>
      </c>
    </row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16.972791176697076</v>
      </c>
      <c r="D6" s="126">
        <f>SUM(E18:E86)</f>
        <v>6.808300521294755E-2</v>
      </c>
      <c r="E6" s="111">
        <f>$C$6-$D$6</f>
        <v>16.904708171484128</v>
      </c>
      <c r="F6" s="112">
        <f>$E$6/$C$6</f>
        <v>0.99598869717395555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0.99799233322403613</v>
      </c>
      <c r="D8" s="2">
        <f>D6/(COUNT(E18:E51)-COUNT(D11:D13)-1)</f>
        <v>7.5647783569941724E-3</v>
      </c>
      <c r="E8" s="2">
        <f>(E6/1)</f>
        <v>16.904708171484128</v>
      </c>
      <c r="F8" s="2">
        <f>E8/D8</f>
        <v>2234.6600751170099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8</v>
      </c>
      <c r="E11" s="163">
        <f>'ERROS_1209 (Opt)'!F3</f>
        <v>1.4464567323768942</v>
      </c>
      <c r="F11" s="2">
        <f>(D11-'1257 (Opt)'!D11)/D11</f>
        <v>0.51029230867601649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1">
        <v>0.27991177657533006</v>
      </c>
      <c r="E12" s="163">
        <f>'ERROS_1209 (Opt)'!F4</f>
        <v>1.0667823352674596E-2</v>
      </c>
      <c r="F12" s="2">
        <f>(D12-'1257 (Opt)'!D12)/D12</f>
        <v>0.39365188423952441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17.076980184335298</v>
      </c>
      <c r="E13" s="163">
        <f>'ERROS_1209 (Opt)'!F5</f>
        <v>0.68083843455503601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7.1999999999999995E-2</v>
      </c>
      <c r="D18" s="132">
        <f>$C$18+$D$11*EXP(-EXP(($D$12*EXP(1))/$D$11*($D$13-B18)+1))</f>
        <v>7.2008178917820659E-2</v>
      </c>
      <c r="E18" s="133">
        <f t="shared" ref="E18:E30" si="0">(C18-D18)^2</f>
        <v>6.6894696717179509E-11</v>
      </c>
      <c r="F18" s="94">
        <v>0</v>
      </c>
      <c r="G18" s="94">
        <f t="shared" ref="G18:G56" si="1">$C$18+$D$11*EXP(-EXP(($D$12*EXP(1))/$D$11*($D$13-F18)+1))</f>
        <v>7.2008178917820659E-2</v>
      </c>
      <c r="H18" s="138"/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0.16</v>
      </c>
      <c r="D19" s="132">
        <f t="shared" ref="D19:D30" si="2">$C$18+$D$11*EXP(-EXP(($D$12*EXP(1))/$D$11*($D$13-B19)+1))</f>
        <v>9.319974889565609E-2</v>
      </c>
      <c r="E19" s="133">
        <f t="shared" si="0"/>
        <v>4.4622735476034002E-3</v>
      </c>
      <c r="F19" s="94">
        <v>1</v>
      </c>
      <c r="G19" s="94">
        <f t="shared" si="1"/>
        <v>7.2028588163928722E-2</v>
      </c>
      <c r="H19" s="138"/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0.185</v>
      </c>
      <c r="D20" s="132">
        <f t="shared" si="2"/>
        <v>0.11281399237547382</v>
      </c>
      <c r="E20" s="133">
        <f t="shared" si="0"/>
        <v>5.2108196967681512E-3</v>
      </c>
      <c r="F20" s="94">
        <v>2</v>
      </c>
      <c r="G20" s="94">
        <f t="shared" si="1"/>
        <v>7.2089200529840677E-2</v>
      </c>
      <c r="H20" s="138"/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0.22500000000000001</v>
      </c>
      <c r="D21" s="132">
        <f t="shared" si="2"/>
        <v>0.13788413100867952</v>
      </c>
      <c r="E21" s="133">
        <f t="shared" si="0"/>
        <v>7.5891746301129138E-3</v>
      </c>
      <c r="F21" s="94">
        <v>3</v>
      </c>
      <c r="G21" s="94">
        <f t="shared" si="1"/>
        <v>7.2251022722284064E-2</v>
      </c>
      <c r="H21" s="138"/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0.27500000000000002</v>
      </c>
      <c r="D22" s="132">
        <f t="shared" si="2"/>
        <v>0.18166127065318941</v>
      </c>
      <c r="E22" s="133">
        <f t="shared" si="0"/>
        <v>8.7121183960771655E-3</v>
      </c>
      <c r="F22" s="94">
        <v>4</v>
      </c>
      <c r="G22" s="94">
        <f t="shared" si="1"/>
        <v>7.2643118293190034E-2</v>
      </c>
      <c r="H22" s="138"/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0.30499999999999999</v>
      </c>
      <c r="D23" s="132">
        <f>$C$18+$D$11*EXP(-EXP(($D$12*EXP(1))/$D$11*($D$13-B23)+1))</f>
        <v>0.23808167414723252</v>
      </c>
      <c r="E23" s="133">
        <f t="shared" si="0"/>
        <v>4.4780623349371671E-3</v>
      </c>
      <c r="F23" s="94">
        <v>5</v>
      </c>
      <c r="G23" s="94">
        <f t="shared" si="1"/>
        <v>7.3512863187114974E-2</v>
      </c>
      <c r="H23" s="138"/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0.4</v>
      </c>
      <c r="D24" s="132">
        <f t="shared" si="2"/>
        <v>0.30804467711101596</v>
      </c>
      <c r="E24" s="133">
        <f t="shared" si="0"/>
        <v>8.4557814076173157E-3</v>
      </c>
      <c r="F24" s="94">
        <v>6</v>
      </c>
      <c r="G24" s="94">
        <f t="shared" si="1"/>
        <v>7.5293082215736828E-2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0.41</v>
      </c>
      <c r="D25" s="132">
        <f t="shared" si="2"/>
        <v>0.39694899109101939</v>
      </c>
      <c r="E25" s="133">
        <f t="shared" si="0"/>
        <v>1.7032883354229069E-4</v>
      </c>
      <c r="F25" s="94">
        <v>7</v>
      </c>
      <c r="G25" s="94">
        <f t="shared" si="1"/>
        <v>7.867971065321093E-2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0.54</v>
      </c>
      <c r="D26" s="132">
        <f t="shared" si="2"/>
        <v>0.50655161153622641</v>
      </c>
      <c r="E26" s="133">
        <f t="shared" si="0"/>
        <v>1.1187946908235045E-3</v>
      </c>
      <c r="F26" s="94">
        <v>8</v>
      </c>
      <c r="G26" s="94">
        <f t="shared" si="1"/>
        <v>8.4707071460896274E-2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0.66</v>
      </c>
      <c r="D27" s="132">
        <f t="shared" si="2"/>
        <v>0.63799867742446215</v>
      </c>
      <c r="E27" s="133">
        <f t="shared" si="0"/>
        <v>4.84058195072873E-4</v>
      </c>
      <c r="F27" s="94">
        <v>9</v>
      </c>
      <c r="G27" s="94">
        <f t="shared" si="1"/>
        <v>9.4803124120161356E-2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0.91500000000000004</v>
      </c>
      <c r="D28" s="132">
        <f t="shared" si="2"/>
        <v>0.99951740659864197</v>
      </c>
      <c r="E28" s="133">
        <f t="shared" si="0"/>
        <v>7.1431920181601622E-3</v>
      </c>
      <c r="F28" s="94">
        <v>10</v>
      </c>
      <c r="G28" s="94">
        <f t="shared" si="1"/>
        <v>0.11080638724233435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1.2350000000000001</v>
      </c>
      <c r="D29" s="132">
        <f t="shared" si="2"/>
        <v>1.3626301433427708</v>
      </c>
      <c r="E29" s="133">
        <f t="shared" si="0"/>
        <v>1.6289453489696189E-2</v>
      </c>
      <c r="F29" s="94">
        <v>11</v>
      </c>
      <c r="G29" s="94">
        <f t="shared" si="1"/>
        <v>0.13493067780936818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4.54</v>
      </c>
      <c r="D30" s="132">
        <f t="shared" si="2"/>
        <v>4.4770004134486445</v>
      </c>
      <c r="E30" s="133">
        <f t="shared" si="0"/>
        <v>3.9689479056417348E-3</v>
      </c>
      <c r="F30" s="94">
        <v>12</v>
      </c>
      <c r="G30" s="94">
        <f t="shared" si="1"/>
        <v>0.16967257562739602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0.21766733027010621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0.28150887597305468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0.36355622670122212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0.46575047197521996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0.58946394330837715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0.73539703442428872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0.90353036250809893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1.0931321828018343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1.3028145438042285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1.530627339280952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1.774177348733107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2.0307592988611787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2.2974874147172253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2.5714182724315302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2.8496584746385745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3.1294533222868148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3.4082549719199888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3.6837703986725665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3.9539907915801598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4.2172048225255523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4.4719986291690343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4.717245429410859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4.9520875345392721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5.175913234138541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5.3883306564398801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5.589140314617759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W73"/>
  <sheetViews>
    <sheetView topLeftCell="A19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'1290 (Opt)'!D8</f>
        <v>7.5647783569941724E-3</v>
      </c>
      <c r="E2" s="2">
        <f>SUM(D3:D5)</f>
        <v>2.5558918550608785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'1290 (Opt)'!D11</f>
        <v>8</v>
      </c>
      <c r="D3" s="10">
        <f>$D$2*G43</f>
        <v>2.0922370786384423</v>
      </c>
      <c r="E3" s="10"/>
      <c r="F3" s="11">
        <f>SQRT(D3)</f>
        <v>1.4464567323768942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'1290 (Opt)'!D12</f>
        <v>0.27991177657533006</v>
      </c>
      <c r="D4" s="10">
        <f>$D$2*H44</f>
        <v>1.1380245508386945E-4</v>
      </c>
      <c r="E4" s="10"/>
      <c r="F4" s="11">
        <f>SQRT(D4)</f>
        <v>1.0667823352674596E-2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'1290 (Opt)'!D13</f>
        <v>17.076980184335298</v>
      </c>
      <c r="D5" s="10">
        <f>$D$2*I45</f>
        <v>0.463540973967352</v>
      </c>
      <c r="E5" s="10"/>
      <c r="F5" s="11">
        <f>SQRT(D5)</f>
        <v>0.68083843455503601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8.0000000000000004E-4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2.7991177657533006E-5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1.7076980184335298E-3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'1290 (Opt)'!B18</f>
        <v>0</v>
      </c>
      <c r="B22" s="4">
        <f>Q_LA($C$3,$C$4,$C$5,A22,$I$7)</f>
        <v>2.39502974669516E-5</v>
      </c>
      <c r="C22" s="35">
        <f>Q_Lumax($C$3,$C$4,$C$5,A22,$I$8)</f>
        <v>-6.5393012468307121E-4</v>
      </c>
      <c r="D22" s="36">
        <f>Q_Llameda($C$3,$C$4,$C$5,A22,$I$9)</f>
        <v>-1.071868333743776E-5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'1290 (Opt)'!B19</f>
        <v>8.8699999999999992</v>
      </c>
      <c r="B23" s="4">
        <f t="shared" ref="B23:B33" si="0">Q_LA($C$3,$C$4,$C$5,A23,$I$7)</f>
        <v>1.4925008851723875E-2</v>
      </c>
      <c r="C23" s="35">
        <f t="shared" ref="C23:C33" si="1">Q_Lumax($C$3,$C$4,$C$5,A23,$I$8)</f>
        <v>-0.35069091554381898</v>
      </c>
      <c r="D23" s="36">
        <f t="shared" ref="D23:D33" si="2">Q_Llameda($C$3,$C$4,$C$5,A23,$I$9)</f>
        <v>-1.1958368443837389E-2</v>
      </c>
      <c r="E23" s="37">
        <v>2</v>
      </c>
      <c r="F23" s="40">
        <v>1</v>
      </c>
      <c r="G23" s="42">
        <v>2.39502974669516E-5</v>
      </c>
      <c r="H23" s="42">
        <v>1.4925008851723875E-2</v>
      </c>
      <c r="I23" s="42">
        <v>2.2973101207581295E-2</v>
      </c>
      <c r="J23" s="42">
        <v>3.0706549389927784E-2</v>
      </c>
      <c r="K23" s="42">
        <v>4.053802302323925E-2</v>
      </c>
      <c r="L23" s="42">
        <v>4.9275421305679246E-2</v>
      </c>
      <c r="M23" s="42">
        <v>5.646809878332576E-2</v>
      </c>
      <c r="N23" s="42">
        <v>6.1992076869701873E-2</v>
      </c>
      <c r="O23" s="42">
        <v>6.5259154807054132E-2</v>
      </c>
      <c r="P23" s="42">
        <v>6.5883953022233266E-2</v>
      </c>
      <c r="Q23" s="42">
        <v>5.7894951628056912E-2</v>
      </c>
      <c r="R23" s="42">
        <v>4.3959032170748369E-2</v>
      </c>
      <c r="S23" s="42">
        <v>5.2403628537645019E-2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'1290 (Opt)'!B20</f>
        <v>10.1</v>
      </c>
      <c r="B24" s="4">
        <f t="shared" si="0"/>
        <v>2.2973101207581295E-2</v>
      </c>
      <c r="C24" s="35">
        <f t="shared" si="1"/>
        <v>-0.5106260219494263</v>
      </c>
      <c r="D24" s="36">
        <f t="shared" si="2"/>
        <v>-2.0481765198219568E-2</v>
      </c>
      <c r="E24" s="37">
        <v>3</v>
      </c>
      <c r="F24" s="43">
        <v>2</v>
      </c>
      <c r="G24" s="42">
        <v>-6.5393012468307121E-4</v>
      </c>
      <c r="H24" s="42">
        <v>-0.35069091554381898</v>
      </c>
      <c r="I24" s="42">
        <v>-0.5106260219494263</v>
      </c>
      <c r="J24" s="42">
        <v>-0.64209318493745837</v>
      </c>
      <c r="K24" s="42">
        <v>-0.76670836642714957</v>
      </c>
      <c r="L24" s="42">
        <v>-0.81489409141143321</v>
      </c>
      <c r="M24" s="42">
        <v>-0.77054992528061039</v>
      </c>
      <c r="N24" s="42">
        <v>-0.6108404502348983</v>
      </c>
      <c r="O24" s="42">
        <v>-0.31267162273527738</v>
      </c>
      <c r="P24" s="42">
        <v>0.1390696038405555</v>
      </c>
      <c r="Q24" s="42">
        <v>1.6589879046919347</v>
      </c>
      <c r="R24" s="42">
        <v>3.3545882316657423</v>
      </c>
      <c r="S24" s="42">
        <v>14.23851367962328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'1290 (Opt)'!B21</f>
        <v>11.1</v>
      </c>
      <c r="B25" s="4">
        <f t="shared" si="0"/>
        <v>3.0706549389927784E-2</v>
      </c>
      <c r="C25" s="35">
        <f t="shared" si="1"/>
        <v>-0.64209318493745837</v>
      </c>
      <c r="D25" s="36">
        <f t="shared" si="2"/>
        <v>-3.0064245935806158E-2</v>
      </c>
      <c r="E25" s="37">
        <v>4</v>
      </c>
      <c r="F25" s="43">
        <v>3</v>
      </c>
      <c r="G25" s="42">
        <v>-1.071868333743776E-5</v>
      </c>
      <c r="H25" s="42">
        <v>-1.1958368443837389E-2</v>
      </c>
      <c r="I25" s="42">
        <v>-2.0481765198219568E-2</v>
      </c>
      <c r="J25" s="42">
        <v>-3.0064245935806158E-2</v>
      </c>
      <c r="K25" s="42">
        <v>-4.4730114601943892E-2</v>
      </c>
      <c r="L25" s="42">
        <v>-6.1190780414910835E-2</v>
      </c>
      <c r="M25" s="42">
        <v>-7.9079731969741163E-2</v>
      </c>
      <c r="N25" s="42">
        <v>-9.8990095799734723E-2</v>
      </c>
      <c r="O25" s="42">
        <v>-0.12037116620050864</v>
      </c>
      <c r="P25" s="42">
        <v>-0.14256080577089178</v>
      </c>
      <c r="Q25" s="42">
        <v>-0.19006005340395454</v>
      </c>
      <c r="R25" s="42">
        <v>-0.22392225608990871</v>
      </c>
      <c r="S25" s="42">
        <v>-0.25000157501183284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'1290 (Opt)'!B22</f>
        <v>12.28</v>
      </c>
      <c r="B26" s="4">
        <f t="shared" si="0"/>
        <v>4.053802302323925E-2</v>
      </c>
      <c r="C26" s="35">
        <f t="shared" si="1"/>
        <v>-0.76670836642714957</v>
      </c>
      <c r="D26" s="36">
        <f t="shared" si="2"/>
        <v>-4.4730114601943892E-2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'1290 (Opt)'!B23</f>
        <v>13.35</v>
      </c>
      <c r="B27" s="4">
        <f t="shared" si="0"/>
        <v>4.9275421305679246E-2</v>
      </c>
      <c r="C27" s="35">
        <f t="shared" si="1"/>
        <v>-0.81489409141143321</v>
      </c>
      <c r="D27" s="36">
        <f t="shared" si="2"/>
        <v>-6.1190780414910835E-2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'1290 (Opt)'!B24</f>
        <v>14.35</v>
      </c>
      <c r="B28" s="4">
        <f t="shared" si="0"/>
        <v>5.646809878332576E-2</v>
      </c>
      <c r="C28" s="35">
        <f t="shared" si="1"/>
        <v>-0.77054992528061039</v>
      </c>
      <c r="D28" s="36">
        <f t="shared" si="2"/>
        <v>-7.9079731969741163E-2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'1290 (Opt)'!B25</f>
        <v>15.35</v>
      </c>
      <c r="B29" s="4">
        <f t="shared" si="0"/>
        <v>6.1992076869701873E-2</v>
      </c>
      <c r="C29" s="35">
        <f t="shared" si="1"/>
        <v>-0.6108404502348983</v>
      </c>
      <c r="D29" s="36">
        <f t="shared" si="2"/>
        <v>-9.8990095799734723E-2</v>
      </c>
      <c r="E29" s="37">
        <v>8</v>
      </c>
    </row>
    <row r="30" spans="1:49" ht="13.5" thickBot="1" x14ac:dyDescent="0.25">
      <c r="A30" s="34">
        <f>'1290 (Opt)'!B26</f>
        <v>16.350000000000001</v>
      </c>
      <c r="B30" s="4">
        <f t="shared" si="0"/>
        <v>6.5259154807054132E-2</v>
      </c>
      <c r="C30" s="35">
        <f t="shared" si="1"/>
        <v>-0.31267162273527738</v>
      </c>
      <c r="D30" s="36">
        <f t="shared" si="2"/>
        <v>-0.12037116620050864</v>
      </c>
      <c r="E30" s="37">
        <v>9</v>
      </c>
      <c r="J30" s="48"/>
      <c r="K30" s="49"/>
      <c r="L30" s="49"/>
    </row>
    <row r="31" spans="1:49" ht="13.5" thickBot="1" x14ac:dyDescent="0.25">
      <c r="A31" s="34">
        <f>'1290 (Opt)'!B27</f>
        <v>17.350000000000001</v>
      </c>
      <c r="B31" s="4">
        <f t="shared" si="0"/>
        <v>6.5883953022233266E-2</v>
      </c>
      <c r="C31" s="35">
        <f t="shared" si="1"/>
        <v>0.1390696038405555</v>
      </c>
      <c r="D31" s="36">
        <f t="shared" si="2"/>
        <v>-0.14256080577089178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'1290 (Opt)'!B28</f>
        <v>19.52</v>
      </c>
      <c r="B32" s="4">
        <f t="shared" si="0"/>
        <v>5.7894951628056912E-2</v>
      </c>
      <c r="C32" s="35">
        <f t="shared" si="1"/>
        <v>1.6589879046919347</v>
      </c>
      <c r="D32" s="36">
        <f t="shared" si="2"/>
        <v>-0.19006005340395454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'1290 (Opt)'!B29</f>
        <v>21.27</v>
      </c>
      <c r="B33" s="4">
        <f t="shared" si="0"/>
        <v>4.3959032170748369E-2</v>
      </c>
      <c r="C33" s="35">
        <f t="shared" si="1"/>
        <v>3.3545882316657423</v>
      </c>
      <c r="D33" s="36">
        <f t="shared" si="2"/>
        <v>-0.22392225608990871</v>
      </c>
      <c r="E33" s="37">
        <v>12</v>
      </c>
      <c r="F33" s="52">
        <v>1</v>
      </c>
      <c r="G33" s="53">
        <f t="array" ref="G33:I35">MMULT(G23:S25,B22:D34)</f>
        <v>2.9426289016960275E-2</v>
      </c>
      <c r="H33" s="54">
        <v>0.7891239691119577</v>
      </c>
      <c r="I33" s="55">
        <v>-6.8198436502218629E-2</v>
      </c>
      <c r="J33" s="48"/>
      <c r="K33" s="48"/>
      <c r="L33" s="48"/>
    </row>
    <row r="34" spans="1:12" ht="13.5" thickBot="1" x14ac:dyDescent="0.25">
      <c r="A34" s="34">
        <f>'1290 (Opt)'!B30</f>
        <v>33.020000000000003</v>
      </c>
      <c r="B34" s="4">
        <f t="shared" ref="B34" si="3">Q_LA($C$3,$C$4,$C$5,A34,$I$7)</f>
        <v>5.2403628537645019E-2</v>
      </c>
      <c r="C34" s="35">
        <f t="shared" ref="C34" si="4">Q_Lumax($C$3,$C$4,$C$5,A34,$I$8)</f>
        <v>14.23851367962328</v>
      </c>
      <c r="D34" s="36">
        <f t="shared" ref="D34" si="5">Q_Llameda($C$3,$C$4,$C$5,A34,$I$9)</f>
        <v>-0.25000157501183284</v>
      </c>
      <c r="E34" s="37">
        <v>13</v>
      </c>
      <c r="F34" s="62">
        <v>2</v>
      </c>
      <c r="G34" s="56">
        <v>0.7891239691119577</v>
      </c>
      <c r="H34" s="57">
        <v>219.87265325580435</v>
      </c>
      <c r="I34" s="58">
        <v>-4.368797104846454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-6.8198436502218629E-2</v>
      </c>
      <c r="H35" s="60">
        <v>-4.368797104846454</v>
      </c>
      <c r="I35" s="61">
        <v>0.20684169129021024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276.57612423026529</v>
      </c>
      <c r="H43" s="73">
        <v>1.4117950721850465</v>
      </c>
      <c r="I43" s="74">
        <v>121.009963292302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1.411795072185045</v>
      </c>
      <c r="H44" s="76">
        <v>1.5043726294855822E-2</v>
      </c>
      <c r="I44" s="77">
        <v>0.78323283597755622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121.00996329230198</v>
      </c>
      <c r="H45" s="76">
        <v>0.78323283597755666</v>
      </c>
      <c r="I45" s="78">
        <v>61.276213537542127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2">
    <tabColor theme="8"/>
  </sheetPr>
  <dimension ref="B3:U333"/>
  <sheetViews>
    <sheetView topLeftCell="D1" zoomScale="80" zoomScaleNormal="80" workbookViewId="0">
      <selection activeCell="D6" sqref="D6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14.108056649896334</v>
      </c>
      <c r="D6" s="126">
        <f>SUM(E18:E86)</f>
        <v>2.4733126853437835E-2</v>
      </c>
      <c r="E6" s="111">
        <f>$C$6-$D$6</f>
        <v>14.083323523042896</v>
      </c>
      <c r="F6" s="112">
        <f>$E$6/$C$6</f>
        <v>0.99824687925011846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0.99912305510888821</v>
      </c>
      <c r="D8" s="2">
        <f>D6/(COUNT(E18:E51)-COUNT(D11:D13)-1)</f>
        <v>2.7481252059375371E-3</v>
      </c>
      <c r="E8" s="2">
        <f>(E6/1)</f>
        <v>14.083323523042896</v>
      </c>
      <c r="F8" s="2">
        <f>E8/D8</f>
        <v>5124.7022852578866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8</v>
      </c>
      <c r="E11" s="163">
        <f>'ERROS_1255 (Opt)'!F3</f>
        <v>0.97552899538800986</v>
      </c>
      <c r="F11" s="2">
        <f>(D11-'1255'!D11)/D11</f>
        <v>0.55712782085834267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0.24465118548345124</v>
      </c>
      <c r="E12" s="163">
        <f>'ERROS_1255 (Opt)'!F4</f>
        <v>7.6605969202781969E-3</v>
      </c>
      <c r="F12" s="2">
        <f>(D12-'1255'!D12)/D12</f>
        <v>-6.8332652789168266E-2</v>
      </c>
      <c r="G12" s="2">
        <f>D12-D12*F12</f>
        <v>0.26136884999555032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16.324221360603893</v>
      </c>
      <c r="E13" s="163">
        <f>'ERROS_1255 (Opt)'!F5</f>
        <v>0.52350099603905398</v>
      </c>
      <c r="F13" s="2">
        <f>(D13-'1255'!D13)/D13</f>
        <v>0.61842452558994132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7.8E-2</v>
      </c>
      <c r="D18" s="132">
        <f>$C$18+$D$11*EXP(-EXP(($D$12*EXP(1))/$D$11*($D$13-B18)+1))</f>
        <v>7.820759294443852E-2</v>
      </c>
      <c r="E18" s="133">
        <f t="shared" ref="E18:E30" si="0">(C18-D18)^2</f>
        <v>4.3094830580654428E-8</v>
      </c>
      <c r="F18" s="94">
        <v>0</v>
      </c>
      <c r="G18" s="94">
        <f t="shared" ref="G18:G60" si="1">$C$18+$D$11*EXP(-EXP(($D$12*EXP(1))/$D$11*($D$13-F18)+1))</f>
        <v>7.820759294443852E-2</v>
      </c>
      <c r="H18" s="138"/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0.158</v>
      </c>
      <c r="D19" s="132">
        <f t="shared" ref="D19:D30" si="2">$C$18+$D$11*EXP(-EXP(($D$12*EXP(1))/$D$11*($D$13-B19)+1))</f>
        <v>0.12920410140365823</v>
      </c>
      <c r="E19" s="133">
        <f t="shared" si="0"/>
        <v>8.2920377597079785E-4</v>
      </c>
      <c r="F19" s="94">
        <v>1</v>
      </c>
      <c r="G19" s="94">
        <f t="shared" si="1"/>
        <v>7.8481965877635687E-2</v>
      </c>
      <c r="H19" s="138"/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0.185</v>
      </c>
      <c r="D20" s="132">
        <f t="shared" si="2"/>
        <v>0.16166220577563564</v>
      </c>
      <c r="E20" s="133">
        <f t="shared" si="0"/>
        <v>5.4465263925877424E-4</v>
      </c>
      <c r="F20" s="94">
        <v>2</v>
      </c>
      <c r="G20" s="94">
        <f t="shared" si="1"/>
        <v>7.904626276579188E-2</v>
      </c>
      <c r="H20" s="138"/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0.22500000000000001</v>
      </c>
      <c r="D21" s="132">
        <f t="shared" si="2"/>
        <v>0.19836869910414806</v>
      </c>
      <c r="E21" s="133">
        <f t="shared" si="0"/>
        <v>7.0922618740540465E-4</v>
      </c>
      <c r="F21" s="94">
        <v>3</v>
      </c>
      <c r="G21" s="94">
        <f t="shared" si="1"/>
        <v>8.0135077161058846E-2</v>
      </c>
      <c r="H21" s="138"/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0.26500000000000001</v>
      </c>
      <c r="D22" s="132">
        <f t="shared" si="2"/>
        <v>0.25615793878217413</v>
      </c>
      <c r="E22" s="133">
        <f t="shared" si="0"/>
        <v>7.8182046579780497E-5</v>
      </c>
      <c r="F22" s="94">
        <v>4</v>
      </c>
      <c r="G22" s="94">
        <f t="shared" si="1"/>
        <v>8.21160116564741E-2</v>
      </c>
      <c r="H22" s="138"/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0.35</v>
      </c>
      <c r="D23" s="132">
        <f>$C$18+$D$11*EXP(-EXP(($D$12*EXP(1))/$D$11*($D$13-B23)+1))</f>
        <v>0.3242780789407021</v>
      </c>
      <c r="E23" s="133">
        <f t="shared" si="0"/>
        <v>6.6161722298075179E-4</v>
      </c>
      <c r="F23" s="94">
        <v>5</v>
      </c>
      <c r="G23" s="94">
        <f t="shared" si="1"/>
        <v>8.5530102181100603E-2</v>
      </c>
      <c r="H23" s="138"/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0.46500000000000002</v>
      </c>
      <c r="D24" s="132">
        <f t="shared" si="2"/>
        <v>0.40309279471581344</v>
      </c>
      <c r="E24" s="133">
        <f t="shared" si="0"/>
        <v>3.8325020660984195E-3</v>
      </c>
      <c r="F24" s="94">
        <v>6</v>
      </c>
      <c r="G24" s="94">
        <f t="shared" si="1"/>
        <v>9.1128049544112355E-2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0.52</v>
      </c>
      <c r="D25" s="132">
        <f t="shared" si="2"/>
        <v>0.49773042026241571</v>
      </c>
      <c r="E25" s="133">
        <f t="shared" si="0"/>
        <v>4.9593418168862569E-4</v>
      </c>
      <c r="F25" s="94">
        <v>7</v>
      </c>
      <c r="G25" s="94">
        <f t="shared" si="1"/>
        <v>9.9894938883732798E-2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0.65</v>
      </c>
      <c r="D26" s="132">
        <f t="shared" si="2"/>
        <v>0.60898506473398939</v>
      </c>
      <c r="E26" s="133">
        <f t="shared" si="0"/>
        <v>1.6822249148750427E-3</v>
      </c>
      <c r="F26" s="94">
        <v>8</v>
      </c>
      <c r="G26" s="94">
        <f t="shared" si="1"/>
        <v>0.11305641057481786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0.69</v>
      </c>
      <c r="D27" s="132">
        <f t="shared" si="2"/>
        <v>0.73724821635416271</v>
      </c>
      <c r="E27" s="133">
        <f t="shared" si="0"/>
        <v>2.2323939486497738E-3</v>
      </c>
      <c r="F27" s="94">
        <v>9</v>
      </c>
      <c r="G27" s="94">
        <f t="shared" si="1"/>
        <v>0.13206109025311241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0.96</v>
      </c>
      <c r="D28" s="132">
        <f t="shared" si="2"/>
        <v>1.0733493452048011</v>
      </c>
      <c r="E28" s="133">
        <f t="shared" si="0"/>
        <v>1.2848074058357169E-2</v>
      </c>
      <c r="F28" s="94">
        <v>10</v>
      </c>
      <c r="G28" s="94">
        <f t="shared" si="1"/>
        <v>0.15853719753875201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1.415</v>
      </c>
      <c r="D29" s="132">
        <f t="shared" si="2"/>
        <v>1.3978300501626553</v>
      </c>
      <c r="E29" s="133">
        <f t="shared" si="0"/>
        <v>2.9480717741693559E-4</v>
      </c>
      <c r="F29" s="94">
        <v>11</v>
      </c>
      <c r="G29" s="94">
        <f t="shared" si="1"/>
        <v>0.19422499829054507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4.16</v>
      </c>
      <c r="D30" s="132">
        <f t="shared" si="2"/>
        <v>4.1371031543804442</v>
      </c>
      <c r="E30" s="133">
        <f t="shared" si="0"/>
        <v>5.2426553932577902E-4</v>
      </c>
      <c r="F30" s="94">
        <v>12</v>
      </c>
      <c r="G30" s="94">
        <f t="shared" si="1"/>
        <v>0.24089036190021507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0.30022742446125295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0.37375977648411562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0.46274954904787513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0.56812242785217448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0.69041435840094922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0.82974299106741789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0.98580420965940685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1.1578917530640915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1.3449362030682883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1.5455585609822253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1.7581332446795801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1.9808555004299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2.2118087934889088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2.4490285619491758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2.6905596482668677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2.9345056484189693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3.1790692590151508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3.4225834090607248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3.6635335138382863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3.9005715827190515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4.1325231639211424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4.3583882387767776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4.5773372108746839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4.7887030964469535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4.9919709343136054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5.1867653159177687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>
        <v>50</v>
      </c>
      <c r="G57" s="94">
        <f t="shared" si="1"/>
        <v>6.8584823987421677</v>
      </c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>
        <v>60</v>
      </c>
      <c r="G58" s="94">
        <f t="shared" si="1"/>
        <v>7.5220480044477496</v>
      </c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>
        <v>70</v>
      </c>
      <c r="G59" s="94">
        <f t="shared" si="1"/>
        <v>7.8309605112761709</v>
      </c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>
        <v>80</v>
      </c>
      <c r="G60" s="94">
        <f t="shared" si="1"/>
        <v>7.9694642241015226</v>
      </c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W73"/>
  <sheetViews>
    <sheetView topLeftCell="A13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'1255 (Opt)'!D8</f>
        <v>2.7481252059375371E-3</v>
      </c>
      <c r="E2" s="2">
        <f>SUM(D3:D5)</f>
        <v>1.2257687984417964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'1255 (Opt)'!D11</f>
        <v>8</v>
      </c>
      <c r="D3" s="10">
        <f>$D$2*G43</f>
        <v>0.95165682084273984</v>
      </c>
      <c r="E3" s="10"/>
      <c r="F3" s="11">
        <f>SQRT(D3)</f>
        <v>0.97552899538800986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'1255 (Opt)'!D12</f>
        <v>0.24465118548345124</v>
      </c>
      <c r="D4" s="10">
        <f>$D$2*H44</f>
        <v>5.8684745174975798E-5</v>
      </c>
      <c r="E4" s="10"/>
      <c r="F4" s="11">
        <f>SQRT(D4)</f>
        <v>7.6605969202781969E-3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'1255 (Opt)'!D13</f>
        <v>16.324221360603893</v>
      </c>
      <c r="D5" s="10">
        <f>$D$2*I45</f>
        <v>0.27405329285388158</v>
      </c>
      <c r="E5" s="10"/>
      <c r="F5" s="11">
        <f>SQRT(D5)</f>
        <v>0.52350099603905398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8.0000000000000004E-4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2.4465118548345125E-5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1.6324221360603892E-3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'1255 (Opt)'!B18</f>
        <v>0</v>
      </c>
      <c r="B22" s="4">
        <f>Q_LA($C$3,$C$4,$C$5,A22,$I$7)</f>
        <v>3.980208716221917E-4</v>
      </c>
      <c r="C22" s="35">
        <f>Q_Lumax($C$3,$C$4,$C$5,A22,$I$8)</f>
        <v>-1.2150831997703218E-2</v>
      </c>
      <c r="D22" s="36">
        <f>Q_Llameda($C$3,$C$4,$C$5,A22,$I$9)</f>
        <v>-1.8210457866140898E-4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'1255 (Opt)'!B19</f>
        <v>8.8699999999999992</v>
      </c>
      <c r="B23" s="4">
        <f t="shared" ref="B23:B33" si="0">Q_LA($C$3,$C$4,$C$5,A23,$I$7)</f>
        <v>2.6437534627783699E-2</v>
      </c>
      <c r="C23" s="35">
        <f t="shared" ref="C23:C33" si="1">Q_Lumax($C$3,$C$4,$C$5,A23,$I$8)</f>
        <v>-0.65503847990622843</v>
      </c>
      <c r="D23" s="36">
        <f t="shared" ref="D23:D33" si="2">Q_Llameda($C$3,$C$4,$C$5,A23,$I$9)</f>
        <v>-2.1495471857442137E-2</v>
      </c>
      <c r="E23" s="37">
        <v>2</v>
      </c>
      <c r="F23" s="40">
        <v>1</v>
      </c>
      <c r="G23" s="42">
        <v>3.980208716221917E-4</v>
      </c>
      <c r="H23" s="42">
        <v>2.6437534627783699E-2</v>
      </c>
      <c r="I23" s="42">
        <v>3.5136346924133366E-2</v>
      </c>
      <c r="J23" s="42">
        <v>4.2469945166108414E-2</v>
      </c>
      <c r="K23" s="42">
        <v>5.0755186836067001E-2</v>
      </c>
      <c r="L23" s="42">
        <v>5.7278618860526209E-2</v>
      </c>
      <c r="M23" s="42">
        <v>6.1998578833183382E-2</v>
      </c>
      <c r="N23" s="42">
        <v>6.4990778582824094E-2</v>
      </c>
      <c r="O23" s="42">
        <v>6.5987328083522145E-2</v>
      </c>
      <c r="P23" s="42">
        <v>6.4866289788967357E-2</v>
      </c>
      <c r="Q23" s="42">
        <v>5.553329874105617E-2</v>
      </c>
      <c r="R23" s="42">
        <v>4.275733210629129E-2</v>
      </c>
      <c r="S23" s="42">
        <v>2.9589142617192365E-2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'1255 (Opt)'!B20</f>
        <v>10.1</v>
      </c>
      <c r="B24" s="4">
        <f t="shared" si="0"/>
        <v>3.5136346924133366E-2</v>
      </c>
      <c r="C24" s="35">
        <f t="shared" si="1"/>
        <v>-0.8068311792689643</v>
      </c>
      <c r="D24" s="36">
        <f t="shared" si="2"/>
        <v>-3.170881803046708E-2</v>
      </c>
      <c r="E24" s="37">
        <v>3</v>
      </c>
      <c r="F24" s="43">
        <v>2</v>
      </c>
      <c r="G24" s="42">
        <v>-1.2150831997703218E-2</v>
      </c>
      <c r="H24" s="42">
        <v>-0.65503847990622843</v>
      </c>
      <c r="I24" s="42">
        <v>-0.8068311792689643</v>
      </c>
      <c r="J24" s="42">
        <v>-0.8966251627055476</v>
      </c>
      <c r="K24" s="42">
        <v>-0.93137530219208908</v>
      </c>
      <c r="L24" s="42">
        <v>-0.8662859027245704</v>
      </c>
      <c r="M24" s="42">
        <v>-0.69850328803115413</v>
      </c>
      <c r="N24" s="42">
        <v>-0.40953910744444261</v>
      </c>
      <c r="O24" s="42">
        <v>1.2615680537928888E-2</v>
      </c>
      <c r="P24" s="42">
        <v>0.57355000259512967</v>
      </c>
      <c r="Q24" s="42">
        <v>2.2525900499712339</v>
      </c>
      <c r="R24" s="42">
        <v>3.9967254933231722</v>
      </c>
      <c r="S24" s="42">
        <v>15.623138912653848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'1255 (Opt)'!B21</f>
        <v>11.1</v>
      </c>
      <c r="B25" s="4">
        <f t="shared" si="0"/>
        <v>4.2469945166108414E-2</v>
      </c>
      <c r="C25" s="35">
        <f t="shared" si="1"/>
        <v>-0.8966251627055476</v>
      </c>
      <c r="D25" s="36">
        <f t="shared" si="2"/>
        <v>-4.1982918332941564E-2</v>
      </c>
      <c r="E25" s="37">
        <v>4</v>
      </c>
      <c r="F25" s="43">
        <v>3</v>
      </c>
      <c r="G25" s="42">
        <v>-1.8210457866140898E-4</v>
      </c>
      <c r="H25" s="42">
        <v>-2.1495471857442137E-2</v>
      </c>
      <c r="I25" s="42">
        <v>-3.170881803046708E-2</v>
      </c>
      <c r="J25" s="42">
        <v>-4.1982918332941564E-2</v>
      </c>
      <c r="K25" s="42">
        <v>-5.6334566049501676E-2</v>
      </c>
      <c r="L25" s="42">
        <v>-7.124846284850149E-2</v>
      </c>
      <c r="M25" s="42">
        <v>-8.6549161065418365E-2</v>
      </c>
      <c r="N25" s="42">
        <v>-0.10283266447871917</v>
      </c>
      <c r="O25" s="42">
        <v>-0.11971469737426889</v>
      </c>
      <c r="P25" s="42">
        <v>-0.13677858319692096</v>
      </c>
      <c r="Q25" s="42">
        <v>-0.17243070135240418</v>
      </c>
      <c r="R25" s="42">
        <v>-0.19769067229187703</v>
      </c>
      <c r="S25" s="42">
        <v>-0.22894338784087795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'1255 (Opt)'!B22</f>
        <v>12.28</v>
      </c>
      <c r="B26" s="4">
        <f t="shared" si="0"/>
        <v>5.0755186836067001E-2</v>
      </c>
      <c r="C26" s="35">
        <f t="shared" si="1"/>
        <v>-0.93137530219208908</v>
      </c>
      <c r="D26" s="36">
        <f t="shared" si="2"/>
        <v>-5.6334566049501676E-2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'1255 (Opt)'!B23</f>
        <v>13.35</v>
      </c>
      <c r="B27" s="4">
        <f t="shared" si="0"/>
        <v>5.7278618860526209E-2</v>
      </c>
      <c r="C27" s="35">
        <f t="shared" si="1"/>
        <v>-0.8662859027245704</v>
      </c>
      <c r="D27" s="36">
        <f t="shared" si="2"/>
        <v>-7.124846284850149E-2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'1255 (Opt)'!B24</f>
        <v>14.35</v>
      </c>
      <c r="B28" s="4">
        <f t="shared" si="0"/>
        <v>6.1998578833183382E-2</v>
      </c>
      <c r="C28" s="35">
        <f t="shared" si="1"/>
        <v>-0.69850328803115413</v>
      </c>
      <c r="D28" s="36">
        <f t="shared" si="2"/>
        <v>-8.6549161065418365E-2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'1255 (Opt)'!B25</f>
        <v>15.35</v>
      </c>
      <c r="B29" s="4">
        <f t="shared" si="0"/>
        <v>6.4990778582824094E-2</v>
      </c>
      <c r="C29" s="35">
        <f t="shared" si="1"/>
        <v>-0.40953910744444261</v>
      </c>
      <c r="D29" s="36">
        <f t="shared" si="2"/>
        <v>-0.10283266447871917</v>
      </c>
      <c r="E29" s="37">
        <v>8</v>
      </c>
    </row>
    <row r="30" spans="1:49" ht="13.5" thickBot="1" x14ac:dyDescent="0.25">
      <c r="A30" s="34">
        <f>'1255 (Opt)'!B26</f>
        <v>16.350000000000001</v>
      </c>
      <c r="B30" s="4">
        <f t="shared" si="0"/>
        <v>6.5987328083522145E-2</v>
      </c>
      <c r="C30" s="35">
        <f t="shared" si="1"/>
        <v>1.2615680537928888E-2</v>
      </c>
      <c r="D30" s="36">
        <f t="shared" si="2"/>
        <v>-0.11971469737426889</v>
      </c>
      <c r="E30" s="37">
        <v>9</v>
      </c>
      <c r="J30" s="48"/>
      <c r="K30" s="49"/>
      <c r="L30" s="49"/>
    </row>
    <row r="31" spans="1:49" ht="13.5" thickBot="1" x14ac:dyDescent="0.25">
      <c r="A31" s="34">
        <f>'1255 (Opt)'!B27</f>
        <v>17.350000000000001</v>
      </c>
      <c r="B31" s="4">
        <f t="shared" si="0"/>
        <v>6.4866289788967357E-2</v>
      </c>
      <c r="C31" s="35">
        <f t="shared" si="1"/>
        <v>0.57355000259512967</v>
      </c>
      <c r="D31" s="36">
        <f t="shared" si="2"/>
        <v>-0.13677858319692096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'1255 (Opt)'!B28</f>
        <v>19.52</v>
      </c>
      <c r="B32" s="4">
        <f t="shared" si="0"/>
        <v>5.553329874105617E-2</v>
      </c>
      <c r="C32" s="35">
        <f t="shared" si="1"/>
        <v>2.2525900499712339</v>
      </c>
      <c r="D32" s="36">
        <f t="shared" si="2"/>
        <v>-0.17243070135240418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'1255 (Opt)'!B29</f>
        <v>21.27</v>
      </c>
      <c r="B33" s="4">
        <f t="shared" si="0"/>
        <v>4.275733210629129E-2</v>
      </c>
      <c r="C33" s="35">
        <f t="shared" si="1"/>
        <v>3.9967254933231722</v>
      </c>
      <c r="D33" s="36">
        <f t="shared" si="2"/>
        <v>-0.19769067229187703</v>
      </c>
      <c r="E33" s="37">
        <v>12</v>
      </c>
      <c r="F33" s="52">
        <v>1</v>
      </c>
      <c r="G33" s="53">
        <f t="array" ref="G33:I35">MMULT(G23:S25,B22:D34)</f>
        <v>3.2011532120184753E-2</v>
      </c>
      <c r="H33" s="54">
        <v>0.54572947194077137</v>
      </c>
      <c r="I33" s="55">
        <v>-6.4029471080479045E-2</v>
      </c>
      <c r="J33" s="48"/>
      <c r="K33" s="48"/>
      <c r="L33" s="48"/>
    </row>
    <row r="34" spans="1:12" ht="13.5" thickBot="1" x14ac:dyDescent="0.25">
      <c r="A34" s="34">
        <f>'1255 (Opt)'!B30</f>
        <v>33.020000000000003</v>
      </c>
      <c r="B34" s="4">
        <f t="shared" ref="B34" si="3">Q_LA($C$3,$C$4,$C$5,A34,$I$7)</f>
        <v>2.9589142617192365E-2</v>
      </c>
      <c r="C34" s="35">
        <f t="shared" ref="C34" si="4">Q_Lumax($C$3,$C$4,$C$5,A34,$I$8)</f>
        <v>15.623138912653848</v>
      </c>
      <c r="D34" s="36">
        <f t="shared" ref="D34" si="5">Q_Llameda($C$3,$C$4,$C$5,A34,$I$9)</f>
        <v>-0.22894338784087795</v>
      </c>
      <c r="E34" s="37">
        <v>13</v>
      </c>
      <c r="F34" s="62">
        <v>2</v>
      </c>
      <c r="G34" s="56">
        <v>0.54572947194077137</v>
      </c>
      <c r="H34" s="57">
        <v>269.61724147698277</v>
      </c>
      <c r="I34" s="58">
        <v>-4.541236810813742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-6.4029471080479045E-2</v>
      </c>
      <c r="H35" s="60">
        <v>-4.541236810813742</v>
      </c>
      <c r="I35" s="61">
        <v>0.18381435710519667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346.29310876615506</v>
      </c>
      <c r="H43" s="73">
        <v>2.2792868537360169</v>
      </c>
      <c r="I43" s="74">
        <v>176.93800673626521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2.2792868537360147</v>
      </c>
      <c r="H44" s="76">
        <v>2.1354465600105434E-2</v>
      </c>
      <c r="I44" s="77">
        <v>1.3215356012960386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176.93800673626518</v>
      </c>
      <c r="H45" s="76">
        <v>1.3215356012960395</v>
      </c>
      <c r="I45" s="78">
        <v>99.723728839489638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>
    <tabColor theme="8"/>
  </sheetPr>
  <dimension ref="B3:U333"/>
  <sheetViews>
    <sheetView topLeftCell="B1" zoomScale="80" zoomScaleNormal="80" workbookViewId="0">
      <selection activeCell="F14" sqref="F14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7.8156714098587621</v>
      </c>
      <c r="D6" s="126">
        <f>SUM(E18:E86)</f>
        <v>1.3947749014985559E-2</v>
      </c>
      <c r="E6" s="111">
        <f>$C$6-$D$6</f>
        <v>7.8017236608437761</v>
      </c>
      <c r="F6" s="112">
        <f>$E$6/$C$6</f>
        <v>0.9982154125623306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0.99910730783151147</v>
      </c>
      <c r="D8" s="2">
        <f>D6/(COUNT(E18:E51)-COUNT(D11:D13)-1)</f>
        <v>1.5497498905539509E-3</v>
      </c>
      <c r="E8" s="2">
        <f>(E6/1)</f>
        <v>7.8017236608437761</v>
      </c>
      <c r="F8" s="2">
        <f>E8/D8</f>
        <v>5034.1824241427021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3.9176615305918685</v>
      </c>
      <c r="E11" s="163">
        <f>'ERROS_1257 (Opt)'!F3</f>
        <v>0.17864520283877641</v>
      </c>
      <c r="F11" s="2">
        <f>(D11-'1257'!D11)/D11</f>
        <v>0.42463309858456244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0.16972397830561861</v>
      </c>
      <c r="E12" s="163">
        <f>'ERROS_1257 (Opt)'!F4</f>
        <v>4.3857289010815915E-3</v>
      </c>
      <c r="F12" s="2">
        <f>(D12-'1257'!D12)/D12</f>
        <v>0.22968942237930087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13.836052404718671</v>
      </c>
      <c r="E13" s="163">
        <f>'ERROS_1257 (Opt)'!F5</f>
        <v>0.1597958725502957</v>
      </c>
      <c r="F13" s="2">
        <f>(D13-'1257'!D13)/D13</f>
        <v>0.4349135183538595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x14ac:dyDescent="0.2">
      <c r="B18" s="171">
        <v>0</v>
      </c>
      <c r="C18" s="130">
        <v>5.6000000000000001E-2</v>
      </c>
      <c r="D18" s="132">
        <f>$C$18+$D$11*EXP(-EXP(($D$12*EXP(1))/$D$11*($D$13-B18)+1))</f>
        <v>5.6003727746773709E-2</v>
      </c>
      <c r="E18" s="133">
        <f t="shared" ref="E18:E30" si="0">(C18-D18)^2</f>
        <v>1.3896096008885573E-11</v>
      </c>
      <c r="F18" s="94">
        <v>0</v>
      </c>
      <c r="G18" s="94">
        <f t="shared" ref="G18:G56" si="1">$C$18+$D$11*EXP(-EXP(($D$12*EXP(1))/$D$11*($D$13-F18)+1))</f>
        <v>5.6003727746773709E-2</v>
      </c>
      <c r="H18" s="138"/>
      <c r="I18" s="95"/>
      <c r="K18" s="4"/>
      <c r="L18" s="4"/>
      <c r="M18" s="4"/>
      <c r="N18" s="122"/>
      <c r="O18" s="122"/>
    </row>
    <row r="19" spans="2:15" ht="13.5" customHeight="1" x14ac:dyDescent="0.2">
      <c r="B19" s="171">
        <v>8.8699999999999992</v>
      </c>
      <c r="C19" s="130">
        <v>0.11600000000000001</v>
      </c>
      <c r="D19" s="132">
        <f t="shared" ref="D19:D30" si="2">$C$18+$D$11*EXP(-EXP(($D$12*EXP(1))/$D$11*($D$13-B19)+1))</f>
        <v>8.580982319782561E-2</v>
      </c>
      <c r="E19" s="133">
        <f t="shared" si="0"/>
        <v>9.1144677534654901E-4</v>
      </c>
      <c r="F19" s="94">
        <v>1</v>
      </c>
      <c r="G19" s="94">
        <f t="shared" si="1"/>
        <v>5.6017394279210618E-2</v>
      </c>
      <c r="H19" s="138"/>
      <c r="I19" s="95"/>
      <c r="J19" s="95"/>
      <c r="K19" s="150"/>
      <c r="L19" s="150"/>
      <c r="M19" s="150"/>
      <c r="N19" s="4"/>
    </row>
    <row r="20" spans="2:15" x14ac:dyDescent="0.2">
      <c r="B20" s="171">
        <v>10.1</v>
      </c>
      <c r="C20" s="130">
        <v>0.15</v>
      </c>
      <c r="D20" s="132">
        <f t="shared" si="2"/>
        <v>0.11355138227271169</v>
      </c>
      <c r="E20" s="133">
        <f t="shared" si="0"/>
        <v>1.3285017342299951E-3</v>
      </c>
      <c r="F20" s="94">
        <v>2</v>
      </c>
      <c r="G20" s="94">
        <f t="shared" si="1"/>
        <v>5.6068398910492194E-2</v>
      </c>
      <c r="H20" s="138"/>
      <c r="I20" s="95"/>
      <c r="J20" s="95"/>
      <c r="K20" s="147"/>
      <c r="L20" s="147"/>
      <c r="M20" s="147"/>
      <c r="N20" s="122"/>
    </row>
    <row r="21" spans="2:15" x14ac:dyDescent="0.2">
      <c r="B21" s="171">
        <v>11.1</v>
      </c>
      <c r="C21" s="130">
        <v>0.185</v>
      </c>
      <c r="D21" s="132">
        <f t="shared" si="2"/>
        <v>0.14797873252641991</v>
      </c>
      <c r="E21" s="133">
        <f t="shared" si="0"/>
        <v>1.370574245350359E-3</v>
      </c>
      <c r="F21" s="94">
        <v>3</v>
      </c>
      <c r="G21" s="94">
        <f t="shared" si="1"/>
        <v>5.6231010027060609E-2</v>
      </c>
      <c r="H21" s="138"/>
      <c r="I21" s="95"/>
      <c r="J21" s="95"/>
      <c r="K21" s="147"/>
      <c r="L21" s="124"/>
      <c r="M21" s="124"/>
      <c r="N21" s="122"/>
    </row>
    <row r="22" spans="2:15" x14ac:dyDescent="0.2">
      <c r="B22" s="171">
        <v>12.28</v>
      </c>
      <c r="C22" s="130">
        <v>0.22500000000000001</v>
      </c>
      <c r="D22" s="132">
        <f t="shared" si="2"/>
        <v>0.2056492867934723</v>
      </c>
      <c r="E22" s="133">
        <f t="shared" si="0"/>
        <v>3.7445010160128567E-4</v>
      </c>
      <c r="F22" s="94">
        <v>4</v>
      </c>
      <c r="G22" s="94">
        <f t="shared" si="1"/>
        <v>5.668153843722417E-2</v>
      </c>
      <c r="H22" s="138"/>
      <c r="I22" s="95"/>
      <c r="J22" s="95"/>
      <c r="K22" s="148"/>
      <c r="L22" s="124"/>
      <c r="M22" s="124"/>
      <c r="N22" s="4"/>
    </row>
    <row r="23" spans="2:15" x14ac:dyDescent="0.2">
      <c r="B23" s="171">
        <v>13.35</v>
      </c>
      <c r="C23" s="130">
        <v>0.28499999999999998</v>
      </c>
      <c r="D23" s="132">
        <f>$C$18+$D$11*EXP(-EXP(($D$12*EXP(1))/$D$11*($D$13-B23)+1))</f>
        <v>0.27626619701344712</v>
      </c>
      <c r="E23" s="133">
        <f t="shared" si="0"/>
        <v>7.6279314607919515E-5</v>
      </c>
      <c r="F23" s="94">
        <v>5</v>
      </c>
      <c r="G23" s="94">
        <f t="shared" si="1"/>
        <v>5.778300029484329E-2</v>
      </c>
      <c r="H23" s="138"/>
      <c r="I23" s="95"/>
      <c r="J23" s="95"/>
      <c r="K23" s="148"/>
      <c r="L23" s="124"/>
      <c r="M23" s="124"/>
      <c r="N23" s="4"/>
    </row>
    <row r="24" spans="2:15" x14ac:dyDescent="0.2">
      <c r="B24" s="171">
        <v>14.35</v>
      </c>
      <c r="C24" s="130">
        <v>0.35499999999999998</v>
      </c>
      <c r="D24" s="132">
        <f t="shared" si="2"/>
        <v>0.35926608125023873</v>
      </c>
      <c r="E24" s="133">
        <f t="shared" si="0"/>
        <v>1.8199449233638627E-5</v>
      </c>
      <c r="F24" s="94">
        <v>6</v>
      </c>
      <c r="G24" s="94">
        <f t="shared" si="1"/>
        <v>6.0191919531109722E-2</v>
      </c>
      <c r="H24" s="95"/>
      <c r="I24" s="95"/>
      <c r="J24" s="95"/>
      <c r="K24" s="148"/>
      <c r="L24" s="124"/>
      <c r="M24" s="124"/>
      <c r="N24" s="122"/>
    </row>
    <row r="25" spans="2:15" x14ac:dyDescent="0.2">
      <c r="B25" s="171">
        <v>15.35</v>
      </c>
      <c r="C25" s="130">
        <v>0.4</v>
      </c>
      <c r="D25" s="132">
        <f t="shared" si="2"/>
        <v>0.45896893681931566</v>
      </c>
      <c r="E25" s="133">
        <f t="shared" si="0"/>
        <v>3.4773355096004402E-3</v>
      </c>
      <c r="F25" s="94">
        <v>7</v>
      </c>
      <c r="G25" s="94">
        <f t="shared" si="1"/>
        <v>6.4962509318003084E-2</v>
      </c>
      <c r="H25" s="95"/>
      <c r="I25" s="95"/>
      <c r="J25" s="95"/>
      <c r="K25" s="149"/>
      <c r="L25" s="124"/>
      <c r="M25" s="124"/>
      <c r="N25" s="122"/>
    </row>
    <row r="26" spans="2:15" x14ac:dyDescent="0.2">
      <c r="B26" s="171">
        <v>16.350000000000001</v>
      </c>
      <c r="C26" s="130">
        <v>0.56999999999999995</v>
      </c>
      <c r="D26" s="132">
        <f t="shared" si="2"/>
        <v>0.57480604386141798</v>
      </c>
      <c r="E26" s="133">
        <f t="shared" si="0"/>
        <v>2.3098057597873931E-5</v>
      </c>
      <c r="F26" s="94">
        <v>8</v>
      </c>
      <c r="G26" s="94">
        <f t="shared" si="1"/>
        <v>7.3610979364311935E-2</v>
      </c>
      <c r="H26" s="95"/>
      <c r="I26" s="95"/>
      <c r="J26" s="103"/>
      <c r="K26" s="122"/>
      <c r="L26" s="122"/>
      <c r="M26" s="122"/>
      <c r="N26" s="4"/>
    </row>
    <row r="27" spans="2:15" x14ac:dyDescent="0.2">
      <c r="B27" s="171">
        <v>17.350000000000001</v>
      </c>
      <c r="C27" s="130">
        <v>0.71</v>
      </c>
      <c r="D27" s="132">
        <f t="shared" si="2"/>
        <v>0.70545308101351001</v>
      </c>
      <c r="E27" s="133">
        <f t="shared" si="0"/>
        <v>2.0674472269702849E-5</v>
      </c>
      <c r="F27" s="94">
        <v>9</v>
      </c>
      <c r="G27" s="94">
        <f t="shared" si="1"/>
        <v>8.8103147122695333E-2</v>
      </c>
      <c r="H27" s="95"/>
      <c r="I27" s="95"/>
      <c r="J27" s="103"/>
      <c r="K27" s="122"/>
      <c r="L27" s="122"/>
      <c r="M27" s="122"/>
      <c r="N27" s="4"/>
    </row>
    <row r="28" spans="2:15" x14ac:dyDescent="0.2">
      <c r="B28" s="171">
        <v>19.52</v>
      </c>
      <c r="C28" s="130">
        <v>0.98</v>
      </c>
      <c r="D28" s="132">
        <f t="shared" si="2"/>
        <v>1.0299830438208897</v>
      </c>
      <c r="E28" s="133">
        <f t="shared" si="0"/>
        <v>2.4983046696009795E-3</v>
      </c>
      <c r="F28" s="94">
        <v>10</v>
      </c>
      <c r="G28" s="94">
        <f t="shared" si="1"/>
        <v>0.11074474597398462</v>
      </c>
      <c r="H28" s="95"/>
      <c r="I28" s="95"/>
      <c r="J28" s="122"/>
      <c r="K28" s="122"/>
      <c r="L28" s="122"/>
    </row>
    <row r="29" spans="2:15" x14ac:dyDescent="0.2">
      <c r="B29" s="171">
        <v>21.27</v>
      </c>
      <c r="C29" s="130">
        <v>1.38</v>
      </c>
      <c r="D29" s="132">
        <f t="shared" si="2"/>
        <v>1.3181969491591468</v>
      </c>
      <c r="E29" s="133">
        <f t="shared" si="0"/>
        <v>3.8196170932370773E-3</v>
      </c>
      <c r="F29" s="94">
        <v>11</v>
      </c>
      <c r="G29" s="94">
        <f t="shared" si="1"/>
        <v>0.14398047863699376</v>
      </c>
      <c r="H29" s="95"/>
      <c r="I29" s="95"/>
      <c r="J29" s="122"/>
      <c r="K29" s="122"/>
      <c r="L29" s="122"/>
    </row>
    <row r="30" spans="2:15" x14ac:dyDescent="0.2">
      <c r="B30" s="171">
        <v>33.020000000000003</v>
      </c>
      <c r="C30" s="130">
        <v>3</v>
      </c>
      <c r="D30" s="132">
        <f t="shared" si="2"/>
        <v>3.005409951794022</v>
      </c>
      <c r="E30" s="133">
        <f t="shared" si="0"/>
        <v>2.9267578413642276E-5</v>
      </c>
      <c r="F30" s="94">
        <v>12</v>
      </c>
      <c r="G30" s="94">
        <f t="shared" si="1"/>
        <v>0.19013434918376279</v>
      </c>
      <c r="H30" s="95"/>
      <c r="I30" s="95"/>
      <c r="J30" s="122"/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0.25114007179444886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0.32831159436981783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0.42219157863828322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0.5324959612936695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0.65815240722594015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0.79741481446270479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0.94802748081022015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1.1074109446029792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21</v>
      </c>
      <c r="G39" s="94">
        <f t="shared" si="1"/>
        <v>1.2728450956980446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22</v>
      </c>
      <c r="G40" s="94">
        <f t="shared" si="1"/>
        <v>1.4416315939836031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23</v>
      </c>
      <c r="G41" s="94">
        <f t="shared" si="1"/>
        <v>1.6112248377068596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24</v>
      </c>
      <c r="G42" s="94">
        <f t="shared" si="1"/>
        <v>1.7793272210222595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25</v>
      </c>
      <c r="G43" s="94">
        <f t="shared" si="1"/>
        <v>1.9439494264387667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26</v>
      </c>
      <c r="G44" s="94">
        <f t="shared" si="1"/>
        <v>2.1034397950540678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27</v>
      </c>
      <c r="G45" s="94">
        <f t="shared" si="1"/>
        <v>2.2564885575006426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28</v>
      </c>
      <c r="G46" s="94">
        <f t="shared" si="1"/>
        <v>2.4021132286364213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29</v>
      </c>
      <c r="G47" s="94">
        <f t="shared" si="1"/>
        <v>2.5396311539175778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30</v>
      </c>
      <c r="G48" s="94">
        <f t="shared" si="1"/>
        <v>2.6686243934359815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31</v>
      </c>
      <c r="G49" s="94">
        <f t="shared" si="1"/>
        <v>2.788901113912138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32</v>
      </c>
      <c r="G50" s="94">
        <f t="shared" si="1"/>
        <v>2.9004566193203125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33</v>
      </c>
      <c r="G51" s="94">
        <f t="shared" si="1"/>
        <v>3.0034362030176203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34</v>
      </c>
      <c r="G52" s="94">
        <f t="shared" si="1"/>
        <v>3.098101206400429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35</v>
      </c>
      <c r="G53" s="94">
        <f t="shared" si="1"/>
        <v>3.1847990392381287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36</v>
      </c>
      <c r="G54" s="94">
        <f t="shared" si="1"/>
        <v>3.2639374479585865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37</v>
      </c>
      <c r="G55" s="94">
        <f t="shared" si="1"/>
        <v>3.335962989902415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38</v>
      </c>
      <c r="G56" s="94">
        <f t="shared" si="1"/>
        <v>3.4013434581906066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W73"/>
  <sheetViews>
    <sheetView topLeftCell="A16" zoomScaleNormal="100" workbookViewId="0">
      <selection activeCell="G23" sqref="G23:S25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'1257 (Opt)'!D8</f>
        <v>1.5497498905539509E-3</v>
      </c>
      <c r="E2" s="2">
        <f>SUM(D3:D5)</f>
        <v>5.7468063999411692E-2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'1257 (Opt)'!D11</f>
        <v>3.9176615305918685</v>
      </c>
      <c r="D3" s="10">
        <f>$D$2*G43</f>
        <v>3.1914108497307567E-2</v>
      </c>
      <c r="E3" s="10"/>
      <c r="F3" s="11">
        <f>SQRT(D3)</f>
        <v>0.17864520283877641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'1257 (Opt)'!D12</f>
        <v>0.16972397830561861</v>
      </c>
      <c r="D4" s="10">
        <f>$D$2*H44</f>
        <v>1.9234617993782344E-5</v>
      </c>
      <c r="E4" s="10"/>
      <c r="F4" s="11">
        <f>SQRT(D4)</f>
        <v>4.3857289010815915E-3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'1257 (Opt)'!D13</f>
        <v>13.836052404718671</v>
      </c>
      <c r="D5" s="10">
        <f>$D$2*I45</f>
        <v>2.5534720884110344E-2</v>
      </c>
      <c r="E5" s="10"/>
      <c r="F5" s="11">
        <f>SQRT(D5)</f>
        <v>0.1597958725502957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3.9176615305918684E-4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1.6972397830561862E-5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1.3836052404718672E-3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'1257 (Opt)'!B18</f>
        <v>0</v>
      </c>
      <c r="B22" s="4">
        <f>Q_LA($C$3,$C$4,$C$5,A22,$I$7)</f>
        <v>2.2470610697101972E-5</v>
      </c>
      <c r="C22" s="35">
        <f>Q_Lumax($C$3,$C$4,$C$5,A22,$I$8)</f>
        <v>-4.9567523223634008E-4</v>
      </c>
      <c r="D22" s="36">
        <f>Q_Llameda($C$3,$C$4,$C$5,A22,$I$9)</f>
        <v>-6.0803450219675308E-6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'1257 (Opt)'!B19</f>
        <v>8.8699999999999992</v>
      </c>
      <c r="B23" s="4">
        <f t="shared" ref="B23:B33" si="0">Q_LA($C$3,$C$4,$C$5,A23,$I$7)</f>
        <v>2.9320209657530263E-2</v>
      </c>
      <c r="C23" s="35">
        <f t="shared" ref="C23:C33" si="1">Q_Lumax($C$3,$C$4,$C$5,A23,$I$8)</f>
        <v>-0.50103436115717193</v>
      </c>
      <c r="D23" s="36">
        <f t="shared" ref="D23:D33" si="2">Q_Llameda($C$3,$C$4,$C$5,A23,$I$9)</f>
        <v>-1.7120302828503471E-2</v>
      </c>
      <c r="E23" s="37">
        <v>2</v>
      </c>
      <c r="F23" s="40">
        <v>1</v>
      </c>
      <c r="G23" s="42">
        <v>2.2470610697101972E-5</v>
      </c>
      <c r="H23" s="42">
        <v>2.9320209657530263E-2</v>
      </c>
      <c r="I23" s="42">
        <v>4.1970885349918614E-2</v>
      </c>
      <c r="J23" s="42">
        <v>5.1859917163038192E-2</v>
      </c>
      <c r="K23" s="42">
        <v>6.105298457550376E-2</v>
      </c>
      <c r="L23" s="42">
        <v>6.5487294433347554E-2</v>
      </c>
      <c r="M23" s="42">
        <v>6.542233722444489E-2</v>
      </c>
      <c r="N23" s="42">
        <v>6.1150881742106741E-2</v>
      </c>
      <c r="O23" s="42">
        <v>5.3166475840223264E-2</v>
      </c>
      <c r="P23" s="42">
        <v>4.2494530586635361E-2</v>
      </c>
      <c r="Q23" s="42">
        <v>1.699445331932474E-2</v>
      </c>
      <c r="R23" s="42">
        <v>2.7184225924126487E-3</v>
      </c>
      <c r="S23" s="42">
        <v>0.26996664199135845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'1257 (Opt)'!B20</f>
        <v>10.1</v>
      </c>
      <c r="B24" s="4">
        <f t="shared" si="0"/>
        <v>4.1970885349918614E-2</v>
      </c>
      <c r="C24" s="35">
        <f t="shared" si="1"/>
        <v>-0.62961756873176433</v>
      </c>
      <c r="D24" s="36">
        <f t="shared" si="2"/>
        <v>-2.8597225413697257E-2</v>
      </c>
      <c r="E24" s="37">
        <v>3</v>
      </c>
      <c r="F24" s="43">
        <v>2</v>
      </c>
      <c r="G24" s="42">
        <v>-4.9567523223634008E-4</v>
      </c>
      <c r="H24" s="42">
        <v>-0.50103436115717193</v>
      </c>
      <c r="I24" s="42">
        <v>-0.62961756873176433</v>
      </c>
      <c r="J24" s="42">
        <v>-0.65506956419153761</v>
      </c>
      <c r="K24" s="42">
        <v>-0.52751489350147973</v>
      </c>
      <c r="L24" s="42">
        <v>-0.21382050619244505</v>
      </c>
      <c r="M24" s="42">
        <v>0.27670781080126994</v>
      </c>
      <c r="N24" s="42">
        <v>0.9627643302872273</v>
      </c>
      <c r="O24" s="42">
        <v>1.8296011094501767</v>
      </c>
      <c r="P24" s="42">
        <v>2.845737113488473</v>
      </c>
      <c r="Q24" s="42">
        <v>5.3464945650982409</v>
      </c>
      <c r="R24" s="42">
        <v>7.3741001972671576</v>
      </c>
      <c r="S24" s="42">
        <v>11.144365276545717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'1257 (Opt)'!B21</f>
        <v>11.1</v>
      </c>
      <c r="B25" s="4">
        <f t="shared" si="0"/>
        <v>5.1859917163038192E-2</v>
      </c>
      <c r="C25" s="35">
        <f t="shared" si="1"/>
        <v>-0.65506956419153761</v>
      </c>
      <c r="D25" s="36">
        <f t="shared" si="2"/>
        <v>-4.0628248799064459E-2</v>
      </c>
      <c r="E25" s="37">
        <v>4</v>
      </c>
      <c r="F25" s="43">
        <v>3</v>
      </c>
      <c r="G25" s="42">
        <v>-6.0803450219675308E-6</v>
      </c>
      <c r="H25" s="42">
        <v>-1.7120302828503471E-2</v>
      </c>
      <c r="I25" s="42">
        <v>-2.8597225413697257E-2</v>
      </c>
      <c r="J25" s="42">
        <v>-4.0628248799064459E-2</v>
      </c>
      <c r="K25" s="42">
        <v>-5.7528437794884077E-2</v>
      </c>
      <c r="L25" s="42">
        <v>-7.4652667381617147E-2</v>
      </c>
      <c r="M25" s="42">
        <v>-9.1366835576823596E-2</v>
      </c>
      <c r="N25" s="42">
        <v>-0.10792009646500043</v>
      </c>
      <c r="O25" s="42">
        <v>-0.12350958884728683</v>
      </c>
      <c r="P25" s="42">
        <v>-0.13743815971447504</v>
      </c>
      <c r="Q25" s="42">
        <v>-0.15964036248197283</v>
      </c>
      <c r="R25" s="42">
        <v>-0.16835480886066886</v>
      </c>
      <c r="S25" s="42">
        <v>-9.8610016126166336E-2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'1257 (Opt)'!B22</f>
        <v>12.28</v>
      </c>
      <c r="B26" s="4">
        <f t="shared" si="0"/>
        <v>6.105298457550376E-2</v>
      </c>
      <c r="C26" s="35">
        <f t="shared" si="1"/>
        <v>-0.52751489350147973</v>
      </c>
      <c r="D26" s="36">
        <f t="shared" si="2"/>
        <v>-5.7528437794884077E-2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'1257 (Opt)'!B23</f>
        <v>13.35</v>
      </c>
      <c r="B27" s="4">
        <f t="shared" si="0"/>
        <v>6.5487294433347554E-2</v>
      </c>
      <c r="C27" s="35">
        <f t="shared" si="1"/>
        <v>-0.21382050619244505</v>
      </c>
      <c r="D27" s="36">
        <f t="shared" si="2"/>
        <v>-7.4652667381617147E-2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'1257 (Opt)'!B24</f>
        <v>14.35</v>
      </c>
      <c r="B28" s="4">
        <f t="shared" si="0"/>
        <v>6.542233722444489E-2</v>
      </c>
      <c r="C28" s="35">
        <f t="shared" si="1"/>
        <v>0.27670781080126994</v>
      </c>
      <c r="D28" s="36">
        <f t="shared" si="2"/>
        <v>-9.1366835576823596E-2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'1257 (Opt)'!B25</f>
        <v>15.35</v>
      </c>
      <c r="B29" s="4">
        <f t="shared" si="0"/>
        <v>6.1150881742106741E-2</v>
      </c>
      <c r="C29" s="35">
        <f t="shared" si="1"/>
        <v>0.9627643302872273</v>
      </c>
      <c r="D29" s="36">
        <f t="shared" si="2"/>
        <v>-0.10792009646500043</v>
      </c>
      <c r="E29" s="37">
        <v>8</v>
      </c>
    </row>
    <row r="30" spans="1:49" ht="13.5" thickBot="1" x14ac:dyDescent="0.25">
      <c r="A30" s="34">
        <f>'1257 (Opt)'!B26</f>
        <v>16.350000000000001</v>
      </c>
      <c r="B30" s="4">
        <f t="shared" si="0"/>
        <v>5.3166475840223264E-2</v>
      </c>
      <c r="C30" s="35">
        <f t="shared" si="1"/>
        <v>1.8296011094501767</v>
      </c>
      <c r="D30" s="36">
        <f t="shared" si="2"/>
        <v>-0.12350958884728683</v>
      </c>
      <c r="E30" s="37">
        <v>9</v>
      </c>
      <c r="J30" s="48"/>
      <c r="K30" s="49"/>
      <c r="L30" s="49"/>
    </row>
    <row r="31" spans="1:49" ht="13.5" thickBot="1" x14ac:dyDescent="0.25">
      <c r="A31" s="34">
        <f>'1257 (Opt)'!B27</f>
        <v>17.350000000000001</v>
      </c>
      <c r="B31" s="4">
        <f t="shared" si="0"/>
        <v>4.2494530586635361E-2</v>
      </c>
      <c r="C31" s="35">
        <f t="shared" si="1"/>
        <v>2.845737113488473</v>
      </c>
      <c r="D31" s="36">
        <f t="shared" si="2"/>
        <v>-0.13743815971447504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'1257 (Opt)'!B28</f>
        <v>19.52</v>
      </c>
      <c r="B32" s="4">
        <f t="shared" si="0"/>
        <v>1.699445331932474E-2</v>
      </c>
      <c r="C32" s="35">
        <f t="shared" si="1"/>
        <v>5.3464945650982409</v>
      </c>
      <c r="D32" s="36">
        <f t="shared" si="2"/>
        <v>-0.15964036248197283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'1257 (Opt)'!B29</f>
        <v>21.27</v>
      </c>
      <c r="B33" s="4">
        <f t="shared" si="0"/>
        <v>2.7184225924126487E-3</v>
      </c>
      <c r="C33" s="35">
        <f t="shared" si="1"/>
        <v>7.3741001972671576</v>
      </c>
      <c r="D33" s="36">
        <f t="shared" si="2"/>
        <v>-0.16835480886066886</v>
      </c>
      <c r="E33" s="37">
        <v>12</v>
      </c>
      <c r="F33" s="52">
        <v>1</v>
      </c>
      <c r="G33" s="53">
        <f t="array" ref="G33:I35">MMULT(G23:S25,B22:D34)</f>
        <v>9.9156894964177317E-2</v>
      </c>
      <c r="H33" s="54">
        <v>3.2933952202483514</v>
      </c>
      <c r="I33" s="55">
        <v>-6.6986139288053789E-2</v>
      </c>
      <c r="J33" s="48"/>
      <c r="K33" s="48"/>
      <c r="L33" s="48"/>
    </row>
    <row r="34" spans="1:12" ht="13.5" thickBot="1" x14ac:dyDescent="0.25">
      <c r="A34" s="34">
        <f>'1257 (Opt)'!B30</f>
        <v>33.020000000000003</v>
      </c>
      <c r="B34" s="4">
        <f t="shared" ref="B34" si="3">Q_LA($C$3,$C$4,$C$5,A34,$I$7)</f>
        <v>0.26996664199135845</v>
      </c>
      <c r="C34" s="35">
        <f t="shared" ref="C34" si="4">Q_Lumax($C$3,$C$4,$C$5,A34,$I$8)</f>
        <v>11.144365276545717</v>
      </c>
      <c r="D34" s="36">
        <f t="shared" ref="D34" si="5">Q_Llameda($C$3,$C$4,$C$5,A34,$I$9)</f>
        <v>-9.8610016126166336E-2</v>
      </c>
      <c r="E34" s="37">
        <v>13</v>
      </c>
      <c r="F34" s="62">
        <v>2</v>
      </c>
      <c r="G34" s="56">
        <v>3.2933952202483514</v>
      </c>
      <c r="H34" s="57">
        <v>221.00893884333146</v>
      </c>
      <c r="I34" s="58">
        <v>-3.8406904017469898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-6.6986139288053789E-2</v>
      </c>
      <c r="H35" s="60">
        <v>-3.8406904017469898</v>
      </c>
      <c r="I35" s="61">
        <v>0.12933493703761648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20.593070334658979</v>
      </c>
      <c r="H43" s="73">
        <v>-0.2511045945912655</v>
      </c>
      <c r="I43" s="74">
        <v>3.2089958137467578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-0.2511045945912655</v>
      </c>
      <c r="H44" s="76">
        <v>1.2411433684248895E-2</v>
      </c>
      <c r="I44" s="77">
        <v>0.2385120956519369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3.2089958137467613</v>
      </c>
      <c r="H45" s="76">
        <v>0.2385120956519369</v>
      </c>
      <c r="I45" s="78">
        <v>16.476672164811752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>
    <tabColor theme="8"/>
  </sheetPr>
  <dimension ref="B3:U333"/>
  <sheetViews>
    <sheetView topLeftCell="B1" zoomScale="80" zoomScaleNormal="80" workbookViewId="0">
      <selection activeCell="D11" sqref="D11:D13"/>
    </sheetView>
  </sheetViews>
  <sheetFormatPr defaultColWidth="11.42578125" defaultRowHeight="12.75" x14ac:dyDescent="0.2"/>
  <cols>
    <col min="1" max="1" width="11.42578125" style="2"/>
    <col min="2" max="2" width="9.140625" style="2" customWidth="1"/>
    <col min="3" max="3" width="37.7109375" style="2" bestFit="1" customWidth="1"/>
    <col min="4" max="8" width="27" style="2" customWidth="1"/>
    <col min="9" max="9" width="6.7109375" style="2" customWidth="1"/>
    <col min="10" max="11" width="25.85546875" style="2" customWidth="1"/>
    <col min="12" max="12" width="22.5703125" style="2" customWidth="1"/>
    <col min="13" max="13" width="9.85546875" style="2" customWidth="1"/>
    <col min="14" max="14" width="20.85546875" style="2" customWidth="1"/>
    <col min="15" max="15" width="18.5703125" style="2" customWidth="1"/>
    <col min="16" max="16" width="10.7109375" style="2" customWidth="1"/>
    <col min="17" max="17" width="18.42578125" style="2" customWidth="1"/>
    <col min="18" max="18" width="18.140625" style="2" customWidth="1"/>
    <col min="19" max="19" width="8.28515625" style="2" customWidth="1"/>
    <col min="20" max="20" width="8.5703125" style="2" customWidth="1"/>
    <col min="21" max="21" width="10.28515625" style="2" customWidth="1"/>
    <col min="22" max="22" width="11" style="2" customWidth="1"/>
    <col min="23" max="61" width="10.28515625" style="2" customWidth="1"/>
    <col min="62" max="16384" width="11.42578125" style="2"/>
  </cols>
  <sheetData>
    <row r="3" spans="2:17" ht="18.75" x14ac:dyDescent="0.3">
      <c r="D3" s="113" t="s">
        <v>21</v>
      </c>
      <c r="E3" s="91"/>
      <c r="F3" s="19"/>
      <c r="G3" s="85"/>
    </row>
    <row r="4" spans="2:17" ht="36.75" customHeight="1" x14ac:dyDescent="0.2">
      <c r="C4" s="174" t="s">
        <v>22</v>
      </c>
      <c r="D4" s="175" t="s">
        <v>23</v>
      </c>
      <c r="E4" s="174" t="s">
        <v>24</v>
      </c>
      <c r="F4" s="176" t="s">
        <v>25</v>
      </c>
      <c r="G4" s="86"/>
    </row>
    <row r="5" spans="2:17" ht="33" customHeight="1" x14ac:dyDescent="0.2">
      <c r="C5" s="174"/>
      <c r="D5" s="175"/>
      <c r="E5" s="174"/>
      <c r="F5" s="177"/>
      <c r="G5" s="90"/>
      <c r="H5" s="10"/>
      <c r="I5" s="85"/>
      <c r="O5" s="3"/>
      <c r="P5" s="3"/>
      <c r="Q5" s="4"/>
    </row>
    <row r="6" spans="2:17" ht="30.75" customHeight="1" x14ac:dyDescent="0.2">
      <c r="C6" s="110">
        <f>DEVSQ(D18:D86)</f>
        <v>73.611141363864718</v>
      </c>
      <c r="D6" s="126">
        <f>SUM(E18:E86)</f>
        <v>1.0667972080661177</v>
      </c>
      <c r="E6" s="111">
        <f>$C$6-$D$6</f>
        <v>72.544344155798598</v>
      </c>
      <c r="F6" s="112">
        <f>$E$6/$C$6</f>
        <v>0.98550766652573862</v>
      </c>
      <c r="G6" s="90"/>
      <c r="H6" s="87"/>
      <c r="I6" s="23"/>
      <c r="O6" s="23"/>
      <c r="P6" s="23"/>
      <c r="Q6" s="86"/>
    </row>
    <row r="7" spans="2:17" ht="35.25" customHeight="1" x14ac:dyDescent="0.2">
      <c r="C7" s="10" t="s">
        <v>26</v>
      </c>
      <c r="D7" s="108" t="s">
        <v>27</v>
      </c>
      <c r="E7" s="109" t="s">
        <v>28</v>
      </c>
      <c r="F7" s="47" t="s">
        <v>29</v>
      </c>
      <c r="G7" s="125" t="s">
        <v>32</v>
      </c>
      <c r="H7" s="89"/>
      <c r="I7" s="23"/>
      <c r="O7" s="86"/>
      <c r="P7" s="86"/>
      <c r="Q7" s="90"/>
    </row>
    <row r="8" spans="2:17" ht="30.75" customHeight="1" x14ac:dyDescent="0.2">
      <c r="C8" s="105">
        <f>SQRT(F6)</f>
        <v>0.99272738781890102</v>
      </c>
      <c r="D8" s="2">
        <f>D6/(COUNT(E18:E51)-COUNT(D11:D13)-1)</f>
        <v>0.11853302311845752</v>
      </c>
      <c r="E8" s="2">
        <f>(E6/1)</f>
        <v>72.544344155798598</v>
      </c>
      <c r="F8" s="2">
        <f>E8/D8</f>
        <v>612.01800348330323</v>
      </c>
      <c r="G8" s="90"/>
      <c r="H8" s="89"/>
      <c r="I8" s="23"/>
      <c r="O8" s="90"/>
      <c r="P8" s="90"/>
      <c r="Q8" s="90"/>
    </row>
    <row r="9" spans="2:17" ht="13.5" thickBot="1" x14ac:dyDescent="0.25">
      <c r="E9" s="88"/>
      <c r="F9" s="19"/>
      <c r="G9" s="19"/>
      <c r="H9" s="19"/>
      <c r="I9" s="23"/>
      <c r="O9" s="90"/>
      <c r="P9" s="90"/>
      <c r="Q9" s="86"/>
    </row>
    <row r="10" spans="2:17" ht="20.25" customHeight="1" thickBot="1" x14ac:dyDescent="0.25">
      <c r="C10" s="84" t="s">
        <v>1</v>
      </c>
      <c r="D10" s="114" t="s">
        <v>20</v>
      </c>
      <c r="E10" s="128" t="s">
        <v>33</v>
      </c>
      <c r="H10" s="19"/>
      <c r="I10" s="23"/>
      <c r="O10" s="23"/>
      <c r="P10" s="23"/>
      <c r="Q10" s="90"/>
    </row>
    <row r="11" spans="2:17" ht="20.25" customHeight="1" thickBot="1" x14ac:dyDescent="0.25">
      <c r="C11" s="8" t="s">
        <v>4</v>
      </c>
      <c r="D11" s="161">
        <v>7</v>
      </c>
      <c r="E11" s="163">
        <f>'ERROS_Fernandez-Moya'!F3</f>
        <v>0.73098679909396846</v>
      </c>
      <c r="H11" s="91"/>
      <c r="I11" s="91"/>
      <c r="J11" s="91"/>
      <c r="K11" s="91"/>
      <c r="L11" s="23"/>
      <c r="M11" s="23"/>
      <c r="N11" s="90"/>
      <c r="O11" s="23"/>
      <c r="P11" s="23"/>
      <c r="Q11" s="90"/>
    </row>
    <row r="12" spans="2:17" ht="20.25" customHeight="1" thickBot="1" x14ac:dyDescent="0.25">
      <c r="C12" s="8" t="s">
        <v>6</v>
      </c>
      <c r="D12" s="167">
        <v>0.26864373313213086</v>
      </c>
      <c r="E12" s="163">
        <f>'ERROS_Fernandez-Moya'!F4</f>
        <v>3.0830446771837463E-2</v>
      </c>
      <c r="H12" s="82"/>
      <c r="I12" s="82"/>
      <c r="J12" s="82"/>
      <c r="K12" s="82"/>
      <c r="N12" s="23"/>
      <c r="O12" s="23"/>
      <c r="P12" s="23"/>
      <c r="Q12" s="86"/>
    </row>
    <row r="13" spans="2:17" ht="20.25" customHeight="1" thickBot="1" x14ac:dyDescent="0.25">
      <c r="C13" s="13" t="s">
        <v>5</v>
      </c>
      <c r="D13" s="161">
        <v>23.554996252826903</v>
      </c>
      <c r="E13" s="163">
        <f>'ERROS_Fernandez-Moya'!F5</f>
        <v>1.2189823248460656</v>
      </c>
      <c r="H13" s="82"/>
      <c r="I13" s="82"/>
      <c r="J13" s="82"/>
      <c r="K13" s="82"/>
      <c r="L13" s="4"/>
      <c r="M13" s="4"/>
      <c r="N13" s="23"/>
      <c r="O13" s="23"/>
      <c r="P13" s="23"/>
      <c r="Q13" s="90"/>
    </row>
    <row r="14" spans="2:17" ht="13.5" thickBot="1" x14ac:dyDescent="0.25">
      <c r="D14" s="19"/>
      <c r="E14" s="23"/>
      <c r="F14" s="4"/>
      <c r="G14" s="4"/>
      <c r="H14" s="4"/>
    </row>
    <row r="15" spans="2:17" ht="24.75" customHeight="1" thickBot="1" x14ac:dyDescent="0.25">
      <c r="B15" s="92" t="s">
        <v>19</v>
      </c>
      <c r="C15" s="114"/>
      <c r="D15" s="96" t="s">
        <v>30</v>
      </c>
      <c r="E15" s="9" t="s">
        <v>2</v>
      </c>
      <c r="F15" s="91"/>
      <c r="G15" s="91"/>
      <c r="H15" s="115"/>
      <c r="I15" s="101"/>
      <c r="K15" s="4"/>
      <c r="L15" s="4"/>
      <c r="M15" s="4"/>
      <c r="N15" s="4"/>
    </row>
    <row r="16" spans="2:17" ht="16.5" customHeight="1" thickBot="1" x14ac:dyDescent="0.25">
      <c r="B16" s="92" t="s">
        <v>34</v>
      </c>
      <c r="C16" s="114" t="s">
        <v>35</v>
      </c>
      <c r="D16" s="116" t="s">
        <v>31</v>
      </c>
      <c r="E16" s="93" t="s">
        <v>0</v>
      </c>
      <c r="F16" s="127" t="s">
        <v>19</v>
      </c>
      <c r="G16" s="114" t="s">
        <v>35</v>
      </c>
      <c r="H16" s="117"/>
      <c r="I16" s="118"/>
      <c r="K16" s="4"/>
      <c r="L16" s="4"/>
      <c r="M16" s="4"/>
      <c r="N16" s="4"/>
    </row>
    <row r="17" spans="2:15" ht="16.5" customHeight="1" thickBot="1" x14ac:dyDescent="0.25">
      <c r="B17" s="119"/>
      <c r="C17" s="120"/>
      <c r="D17" s="131"/>
      <c r="E17" s="134"/>
      <c r="F17" s="92" t="s">
        <v>34</v>
      </c>
      <c r="G17" s="135"/>
      <c r="H17" s="100"/>
      <c r="I17" s="102"/>
      <c r="K17" s="4"/>
      <c r="L17" s="4"/>
      <c r="M17" s="4"/>
      <c r="N17" s="4"/>
    </row>
    <row r="18" spans="2:15" ht="13.5" customHeight="1" thickBot="1" x14ac:dyDescent="0.25">
      <c r="B18" s="171">
        <v>0</v>
      </c>
      <c r="C18" s="130">
        <v>0.1</v>
      </c>
      <c r="D18" s="132">
        <f>$C$18+$D$11*EXP(-EXP(($D$12*EXP(1))/$D$11*($D$13-B18)+1))</f>
        <v>0.10000000000011604</v>
      </c>
      <c r="E18" s="133">
        <f t="shared" ref="E18:E30" si="0">(C18-D18)^2</f>
        <v>1.3463467691584626E-26</v>
      </c>
      <c r="F18" s="94">
        <v>0</v>
      </c>
      <c r="G18" s="94">
        <f t="shared" ref="G18:G56" si="1">$C$18+$D$11*EXP(-EXP(($D$12*EXP(1))/$D$11*($D$13-F18)+1))</f>
        <v>0.10000000000011604</v>
      </c>
      <c r="H18" s="138"/>
      <c r="I18" s="172" t="s">
        <v>36</v>
      </c>
      <c r="J18" s="172" t="s">
        <v>37</v>
      </c>
      <c r="K18" s="4"/>
      <c r="L18" s="4"/>
      <c r="M18" s="4"/>
      <c r="N18" s="122"/>
      <c r="O18" s="122"/>
    </row>
    <row r="19" spans="2:15" ht="13.5" customHeight="1" thickBot="1" x14ac:dyDescent="0.25">
      <c r="B19" s="171">
        <v>13.183</v>
      </c>
      <c r="C19" s="130">
        <v>0.16200000000000001</v>
      </c>
      <c r="D19" s="132">
        <f t="shared" ref="D19:D30" si="2">$C$18+$D$11*EXP(-EXP(($D$12*EXP(1))/$D$11*($D$13-B19)+1))</f>
        <v>0.10230022461185703</v>
      </c>
      <c r="E19" s="133">
        <f t="shared" si="0"/>
        <v>3.5640631813947214E-3</v>
      </c>
      <c r="F19" s="94">
        <v>1</v>
      </c>
      <c r="G19" s="94">
        <f t="shared" si="1"/>
        <v>0.10000000000268987</v>
      </c>
      <c r="H19" s="138"/>
      <c r="I19" s="172" t="s">
        <v>38</v>
      </c>
      <c r="J19" s="172" t="s">
        <v>39</v>
      </c>
      <c r="K19" s="150"/>
      <c r="L19" s="150"/>
      <c r="M19" s="150"/>
      <c r="N19" s="4"/>
    </row>
    <row r="20" spans="2:15" ht="13.5" thickBot="1" x14ac:dyDescent="0.25">
      <c r="B20" s="171">
        <v>15.917</v>
      </c>
      <c r="C20" s="130">
        <v>0.28000000000000003</v>
      </c>
      <c r="D20" s="132">
        <f t="shared" si="2"/>
        <v>0.11683246901425692</v>
      </c>
      <c r="E20" s="133">
        <f t="shared" si="0"/>
        <v>2.6623643167983435E-2</v>
      </c>
      <c r="F20" s="94">
        <v>2</v>
      </c>
      <c r="G20" s="94">
        <f t="shared" si="1"/>
        <v>0.10000000004567201</v>
      </c>
      <c r="H20" s="138"/>
      <c r="I20" s="172" t="s">
        <v>40</v>
      </c>
      <c r="J20" s="172" t="s">
        <v>41</v>
      </c>
      <c r="K20" s="147"/>
      <c r="L20" s="147"/>
      <c r="M20" s="147"/>
      <c r="N20" s="122"/>
    </row>
    <row r="21" spans="2:15" ht="13.5" thickBot="1" x14ac:dyDescent="0.25">
      <c r="B21" s="171">
        <v>18</v>
      </c>
      <c r="C21" s="130">
        <v>0.46</v>
      </c>
      <c r="D21" s="132">
        <f t="shared" si="2"/>
        <v>0.15465900174776215</v>
      </c>
      <c r="E21" s="133">
        <f t="shared" si="0"/>
        <v>9.3233125213673135E-2</v>
      </c>
      <c r="F21" s="94">
        <v>3</v>
      </c>
      <c r="G21" s="94">
        <f t="shared" si="1"/>
        <v>0.10000000058577142</v>
      </c>
      <c r="H21" s="138"/>
      <c r="I21" s="172" t="s">
        <v>42</v>
      </c>
      <c r="J21" s="172" t="s">
        <v>43</v>
      </c>
      <c r="K21" s="147"/>
      <c r="L21" s="124"/>
      <c r="M21" s="124"/>
      <c r="N21" s="122"/>
    </row>
    <row r="22" spans="2:15" ht="13.5" thickBot="1" x14ac:dyDescent="0.25">
      <c r="B22" s="171">
        <v>19.832999999999998</v>
      </c>
      <c r="C22" s="130">
        <v>0.56000000000000005</v>
      </c>
      <c r="D22" s="132">
        <f t="shared" si="2"/>
        <v>0.22719233766349184</v>
      </c>
      <c r="E22" s="133">
        <f t="shared" si="0"/>
        <v>0.11076094010989126</v>
      </c>
      <c r="F22" s="94">
        <v>4</v>
      </c>
      <c r="G22" s="94">
        <f t="shared" si="1"/>
        <v>0.10000000583492562</v>
      </c>
      <c r="H22" s="138"/>
      <c r="I22" s="172" t="s">
        <v>44</v>
      </c>
      <c r="J22" s="172" t="s">
        <v>45</v>
      </c>
      <c r="K22" s="148"/>
      <c r="L22" s="124"/>
      <c r="M22" s="124"/>
      <c r="N22" s="4"/>
    </row>
    <row r="23" spans="2:15" ht="13.5" thickBot="1" x14ac:dyDescent="0.25">
      <c r="B23" s="171">
        <v>21.75</v>
      </c>
      <c r="C23" s="130">
        <v>0.62</v>
      </c>
      <c r="D23" s="132">
        <f>$C$18+$D$11*EXP(-EXP(($D$12*EXP(1))/$D$11*($D$13-B23)+1))</f>
        <v>0.36300386675944318</v>
      </c>
      <c r="E23" s="133">
        <f t="shared" si="0"/>
        <v>6.6047012500598024E-2</v>
      </c>
      <c r="F23" s="94">
        <v>5</v>
      </c>
      <c r="G23" s="94">
        <f t="shared" si="1"/>
        <v>0.10000004628560157</v>
      </c>
      <c r="H23" s="138"/>
      <c r="I23" s="172" t="s">
        <v>46</v>
      </c>
      <c r="J23" s="172" t="s">
        <v>47</v>
      </c>
      <c r="K23" s="148"/>
      <c r="L23" s="124"/>
      <c r="M23" s="124"/>
      <c r="N23" s="4"/>
    </row>
    <row r="24" spans="2:15" ht="13.5" thickBot="1" x14ac:dyDescent="0.25">
      <c r="B24" s="171">
        <v>23.75</v>
      </c>
      <c r="C24" s="130">
        <v>0.8</v>
      </c>
      <c r="D24" s="132">
        <f t="shared" si="2"/>
        <v>0.58790615244945033</v>
      </c>
      <c r="E24" s="133">
        <f t="shared" si="0"/>
        <v>4.4983800168795822E-2</v>
      </c>
      <c r="F24" s="94">
        <v>6</v>
      </c>
      <c r="G24" s="94">
        <f t="shared" si="1"/>
        <v>0.10000029905912695</v>
      </c>
      <c r="H24" s="95"/>
      <c r="I24" s="172" t="s">
        <v>48</v>
      </c>
      <c r="J24" s="172" t="s">
        <v>49</v>
      </c>
      <c r="K24" s="148"/>
      <c r="L24" s="124"/>
      <c r="M24" s="124"/>
      <c r="N24" s="122"/>
    </row>
    <row r="25" spans="2:15" ht="13.5" thickBot="1" x14ac:dyDescent="0.25">
      <c r="B25" s="171">
        <v>27.5</v>
      </c>
      <c r="C25" s="130">
        <v>1.18</v>
      </c>
      <c r="D25" s="132">
        <f t="shared" si="2"/>
        <v>1.2557070076455257</v>
      </c>
      <c r="E25" s="133">
        <f t="shared" si="0"/>
        <v>5.7315510066396928E-3</v>
      </c>
      <c r="F25" s="94">
        <v>7</v>
      </c>
      <c r="G25" s="94">
        <f t="shared" si="1"/>
        <v>0.10000160618416166</v>
      </c>
      <c r="H25" s="95"/>
      <c r="I25" s="172" t="s">
        <v>50</v>
      </c>
      <c r="J25" s="172" t="s">
        <v>51</v>
      </c>
      <c r="K25" s="149"/>
      <c r="L25" s="124"/>
      <c r="M25" s="124"/>
      <c r="N25" s="122"/>
    </row>
    <row r="26" spans="2:15" ht="13.5" thickBot="1" x14ac:dyDescent="0.25">
      <c r="B26" s="171">
        <v>32.75</v>
      </c>
      <c r="C26" s="130">
        <v>2.02</v>
      </c>
      <c r="D26" s="132">
        <f t="shared" si="2"/>
        <v>2.570209498553818</v>
      </c>
      <c r="E26" s="133">
        <f t="shared" si="0"/>
        <v>0.3027304922988438</v>
      </c>
      <c r="F26" s="94">
        <v>8</v>
      </c>
      <c r="G26" s="94">
        <f t="shared" si="1"/>
        <v>0.10000730319536591</v>
      </c>
      <c r="H26" s="95"/>
      <c r="I26" s="173" t="s">
        <v>52</v>
      </c>
      <c r="J26" s="173" t="s">
        <v>53</v>
      </c>
      <c r="K26" s="122"/>
      <c r="L26" s="122"/>
      <c r="M26" s="122"/>
      <c r="N26" s="4"/>
    </row>
    <row r="27" spans="2:15" ht="13.5" thickBot="1" x14ac:dyDescent="0.25">
      <c r="B27" s="171">
        <v>41.5</v>
      </c>
      <c r="C27" s="130">
        <v>4.72</v>
      </c>
      <c r="D27" s="132">
        <f t="shared" si="2"/>
        <v>4.7080982573915371</v>
      </c>
      <c r="E27" s="133">
        <f t="shared" si="0"/>
        <v>1.4165147711809562E-4</v>
      </c>
      <c r="F27" s="94">
        <v>9</v>
      </c>
      <c r="G27" s="94">
        <f t="shared" si="1"/>
        <v>0.10002858078780322</v>
      </c>
      <c r="H27" s="95"/>
      <c r="I27" s="173" t="s">
        <v>54</v>
      </c>
      <c r="J27" s="173" t="s">
        <v>55</v>
      </c>
      <c r="K27" s="122"/>
      <c r="L27" s="122"/>
      <c r="M27" s="122"/>
      <c r="N27" s="4"/>
    </row>
    <row r="28" spans="2:15" ht="13.5" thickBot="1" x14ac:dyDescent="0.25">
      <c r="B28" s="171">
        <v>44.167000000000002</v>
      </c>
      <c r="C28" s="130">
        <v>5.72</v>
      </c>
      <c r="D28" s="132">
        <f t="shared" si="2"/>
        <v>5.2006064489908281</v>
      </c>
      <c r="E28" s="133">
        <f t="shared" si="0"/>
        <v>0.26976966082991694</v>
      </c>
      <c r="F28" s="94">
        <v>10</v>
      </c>
      <c r="G28" s="94">
        <f t="shared" si="1"/>
        <v>0.10009770883402809</v>
      </c>
      <c r="H28" s="95"/>
      <c r="I28" s="173" t="s">
        <v>56</v>
      </c>
      <c r="J28" s="173" t="s">
        <v>57</v>
      </c>
      <c r="K28" s="122"/>
      <c r="L28" s="122"/>
    </row>
    <row r="29" spans="2:15" ht="13.5" thickBot="1" x14ac:dyDescent="0.25">
      <c r="B29" s="171">
        <v>48.832999999999998</v>
      </c>
      <c r="C29" s="130">
        <v>6.04</v>
      </c>
      <c r="D29" s="132">
        <f t="shared" si="2"/>
        <v>5.8624005184898627</v>
      </c>
      <c r="E29" s="133">
        <f t="shared" si="0"/>
        <v>3.154157583266963E-2</v>
      </c>
      <c r="F29" s="94">
        <v>11</v>
      </c>
      <c r="G29" s="94">
        <f t="shared" si="1"/>
        <v>0.1002957379504518</v>
      </c>
      <c r="H29" s="95"/>
      <c r="I29" s="172" t="s">
        <v>58</v>
      </c>
      <c r="J29" s="172" t="s">
        <v>59</v>
      </c>
      <c r="K29" s="122"/>
      <c r="L29" s="122"/>
    </row>
    <row r="30" spans="2:15" ht="13.5" thickBot="1" x14ac:dyDescent="0.25">
      <c r="B30" s="171">
        <v>53.283000000000001</v>
      </c>
      <c r="C30" s="130">
        <v>5.96</v>
      </c>
      <c r="D30" s="132">
        <f t="shared" si="2"/>
        <v>6.2941701546796081</v>
      </c>
      <c r="E30" s="133">
        <f t="shared" si="0"/>
        <v>0.11166969227859319</v>
      </c>
      <c r="F30" s="94">
        <v>12</v>
      </c>
      <c r="G30" s="94">
        <f t="shared" si="1"/>
        <v>0.10080210833992201</v>
      </c>
      <c r="H30" s="95"/>
      <c r="I30" s="172" t="s">
        <v>60</v>
      </c>
      <c r="J30" s="172" t="s">
        <v>61</v>
      </c>
      <c r="K30" s="122"/>
      <c r="L30" s="122"/>
    </row>
    <row r="31" spans="2:15" x14ac:dyDescent="0.2">
      <c r="B31" s="138"/>
      <c r="C31" s="130"/>
      <c r="D31" s="132"/>
      <c r="E31" s="133"/>
      <c r="F31" s="94">
        <v>13</v>
      </c>
      <c r="G31" s="94">
        <f t="shared" si="1"/>
        <v>0.10197075161065622</v>
      </c>
      <c r="H31" s="95"/>
      <c r="I31" s="95"/>
      <c r="J31" s="122"/>
      <c r="K31" s="122"/>
    </row>
    <row r="32" spans="2:15" x14ac:dyDescent="0.2">
      <c r="B32" s="138"/>
      <c r="C32" s="130"/>
      <c r="D32" s="132"/>
      <c r="E32" s="133"/>
      <c r="F32" s="94">
        <v>14</v>
      </c>
      <c r="G32" s="94">
        <f t="shared" si="1"/>
        <v>0.10442951499434283</v>
      </c>
      <c r="H32" s="95"/>
      <c r="I32" s="95"/>
      <c r="J32" s="122"/>
      <c r="K32" s="122"/>
    </row>
    <row r="33" spans="2:11" x14ac:dyDescent="0.2">
      <c r="B33" s="138"/>
      <c r="C33" s="130"/>
      <c r="D33" s="132"/>
      <c r="E33" s="133"/>
      <c r="F33" s="94">
        <v>15</v>
      </c>
      <c r="G33" s="94">
        <f t="shared" si="1"/>
        <v>0.10918834212374924</v>
      </c>
      <c r="H33" s="95"/>
      <c r="I33" s="95"/>
      <c r="J33" s="122"/>
      <c r="K33" s="122"/>
    </row>
    <row r="34" spans="2:11" x14ac:dyDescent="0.2">
      <c r="B34" s="138"/>
      <c r="C34" s="130"/>
      <c r="D34" s="132"/>
      <c r="E34" s="133"/>
      <c r="F34" s="94">
        <v>16</v>
      </c>
      <c r="G34" s="94">
        <f t="shared" si="1"/>
        <v>0.11773072771303099</v>
      </c>
      <c r="H34" s="95"/>
      <c r="I34" s="95"/>
      <c r="J34" s="122"/>
      <c r="K34" s="122"/>
    </row>
    <row r="35" spans="2:11" x14ac:dyDescent="0.2">
      <c r="B35" s="95"/>
      <c r="C35" s="130"/>
      <c r="D35" s="132"/>
      <c r="E35" s="133"/>
      <c r="F35" s="94">
        <v>17</v>
      </c>
      <c r="G35" s="94">
        <f t="shared" si="1"/>
        <v>0.13205783344613883</v>
      </c>
      <c r="H35" s="95"/>
      <c r="I35" s="95"/>
      <c r="J35" s="122"/>
      <c r="K35" s="122"/>
    </row>
    <row r="36" spans="2:11" x14ac:dyDescent="0.2">
      <c r="B36" s="95"/>
      <c r="C36" s="121"/>
      <c r="D36" s="132"/>
      <c r="E36" s="133"/>
      <c r="F36" s="94">
        <v>18</v>
      </c>
      <c r="G36" s="94">
        <f t="shared" si="1"/>
        <v>0.15465900174776215</v>
      </c>
      <c r="H36" s="95"/>
      <c r="I36" s="95"/>
      <c r="J36" s="122"/>
      <c r="K36" s="122"/>
    </row>
    <row r="37" spans="2:11" x14ac:dyDescent="0.2">
      <c r="B37" s="95"/>
      <c r="C37" s="121"/>
      <c r="D37" s="132"/>
      <c r="E37" s="133"/>
      <c r="F37" s="94">
        <v>19</v>
      </c>
      <c r="G37" s="94">
        <f t="shared" si="1"/>
        <v>0.18839614148205086</v>
      </c>
      <c r="H37" s="95"/>
      <c r="I37" s="95"/>
      <c r="J37" s="122"/>
      <c r="K37" s="122"/>
    </row>
    <row r="38" spans="2:11" x14ac:dyDescent="0.2">
      <c r="B38" s="95"/>
      <c r="C38" s="121"/>
      <c r="D38" s="132"/>
      <c r="E38" s="133"/>
      <c r="F38" s="94">
        <v>20</v>
      </c>
      <c r="G38" s="94">
        <f t="shared" si="1"/>
        <v>0.2363085558256284</v>
      </c>
      <c r="H38" s="4"/>
      <c r="I38" s="122"/>
      <c r="J38" s="122"/>
      <c r="K38" s="122"/>
    </row>
    <row r="39" spans="2:11" x14ac:dyDescent="0.2">
      <c r="B39" s="95"/>
      <c r="C39" s="121"/>
      <c r="D39" s="132"/>
      <c r="E39" s="133"/>
      <c r="F39" s="94">
        <v>22</v>
      </c>
      <c r="G39" s="94">
        <f t="shared" si="1"/>
        <v>0.38618684334095277</v>
      </c>
      <c r="H39" s="95"/>
      <c r="I39" s="122"/>
      <c r="J39" s="122"/>
      <c r="K39" s="122"/>
    </row>
    <row r="40" spans="2:11" x14ac:dyDescent="0.2">
      <c r="B40" s="95"/>
      <c r="C40" s="121"/>
      <c r="D40" s="132"/>
      <c r="E40" s="133"/>
      <c r="F40" s="94">
        <v>24</v>
      </c>
      <c r="G40" s="94">
        <f t="shared" si="1"/>
        <v>0.62253456148320863</v>
      </c>
      <c r="H40" s="95"/>
      <c r="I40" s="122"/>
      <c r="J40" s="122"/>
      <c r="K40" s="122"/>
    </row>
    <row r="41" spans="2:11" x14ac:dyDescent="0.2">
      <c r="B41" s="95"/>
      <c r="C41" s="121"/>
      <c r="D41" s="94"/>
      <c r="E41" s="94"/>
      <c r="F41" s="94">
        <v>26</v>
      </c>
      <c r="G41" s="94">
        <f t="shared" si="1"/>
        <v>0.95180970740951865</v>
      </c>
      <c r="H41" s="95"/>
      <c r="I41" s="122"/>
      <c r="J41" s="122"/>
      <c r="K41" s="122"/>
    </row>
    <row r="42" spans="2:11" x14ac:dyDescent="0.2">
      <c r="B42" s="95"/>
      <c r="C42" s="121"/>
      <c r="D42" s="94"/>
      <c r="E42" s="94"/>
      <c r="F42" s="94">
        <v>28</v>
      </c>
      <c r="G42" s="94">
        <f t="shared" si="1"/>
        <v>1.3664981546084818</v>
      </c>
      <c r="H42" s="95"/>
      <c r="I42" s="122"/>
      <c r="J42" s="122"/>
      <c r="K42" s="122"/>
    </row>
    <row r="43" spans="2:11" x14ac:dyDescent="0.2">
      <c r="B43" s="95"/>
      <c r="C43" s="94"/>
      <c r="D43" s="94"/>
      <c r="E43" s="94"/>
      <c r="F43" s="94">
        <v>30</v>
      </c>
      <c r="G43" s="94">
        <f t="shared" si="1"/>
        <v>1.8475397401430054</v>
      </c>
      <c r="H43" s="95"/>
      <c r="I43" s="122"/>
      <c r="J43" s="122"/>
      <c r="K43" s="122"/>
    </row>
    <row r="44" spans="2:11" x14ac:dyDescent="0.2">
      <c r="B44" s="95"/>
      <c r="C44" s="94"/>
      <c r="D44" s="94"/>
      <c r="E44" s="94"/>
      <c r="F44" s="94">
        <v>32</v>
      </c>
      <c r="G44" s="94">
        <f t="shared" si="1"/>
        <v>2.3694411022309922</v>
      </c>
      <c r="H44" s="95"/>
      <c r="I44" s="122"/>
      <c r="J44" s="122"/>
      <c r="K44" s="122"/>
    </row>
    <row r="45" spans="2:11" x14ac:dyDescent="0.2">
      <c r="B45" s="95"/>
      <c r="C45" s="94"/>
      <c r="D45" s="94"/>
      <c r="E45" s="95"/>
      <c r="F45" s="94">
        <v>34</v>
      </c>
      <c r="G45" s="94">
        <f t="shared" si="1"/>
        <v>2.9056828493687026</v>
      </c>
      <c r="H45" s="152"/>
      <c r="I45" s="122"/>
      <c r="J45" s="122"/>
      <c r="K45" s="122"/>
    </row>
    <row r="46" spans="2:11" x14ac:dyDescent="0.2">
      <c r="B46" s="95"/>
      <c r="C46" s="94"/>
      <c r="D46" s="94"/>
      <c r="E46" s="95"/>
      <c r="F46" s="94">
        <v>36</v>
      </c>
      <c r="G46" s="94">
        <f t="shared" si="1"/>
        <v>3.4328114487845545</v>
      </c>
      <c r="H46" s="146"/>
      <c r="I46" s="122"/>
      <c r="J46" s="122"/>
      <c r="K46" s="122"/>
    </row>
    <row r="47" spans="2:11" x14ac:dyDescent="0.2">
      <c r="B47" s="95"/>
      <c r="C47" s="94"/>
      <c r="D47" s="94"/>
      <c r="E47" s="95"/>
      <c r="F47" s="94">
        <v>38</v>
      </c>
      <c r="G47" s="94">
        <f t="shared" si="1"/>
        <v>3.9326768812652699</v>
      </c>
      <c r="H47" s="95"/>
      <c r="I47" s="122"/>
      <c r="J47" s="122"/>
      <c r="K47" s="122"/>
    </row>
    <row r="48" spans="2:11" x14ac:dyDescent="0.2">
      <c r="B48" s="95"/>
      <c r="C48" s="94"/>
      <c r="D48" s="94"/>
      <c r="E48" s="95"/>
      <c r="F48" s="94">
        <v>40</v>
      </c>
      <c r="G48" s="94">
        <f t="shared" si="1"/>
        <v>4.3930363912027488</v>
      </c>
      <c r="H48" s="95"/>
      <c r="I48" s="122"/>
      <c r="J48" s="122"/>
      <c r="K48" s="122"/>
    </row>
    <row r="49" spans="2:11" x14ac:dyDescent="0.2">
      <c r="B49" s="95"/>
      <c r="C49" s="94"/>
      <c r="D49" s="94"/>
      <c r="E49" s="95"/>
      <c r="F49" s="94">
        <v>42</v>
      </c>
      <c r="G49" s="94">
        <f t="shared" si="1"/>
        <v>4.8070639814331226</v>
      </c>
      <c r="H49" s="95"/>
      <c r="I49" s="122"/>
      <c r="J49" s="122"/>
      <c r="K49" s="122"/>
    </row>
    <row r="50" spans="2:11" x14ac:dyDescent="0.2">
      <c r="B50" s="95"/>
      <c r="C50" s="94"/>
      <c r="D50" s="94"/>
      <c r="E50" s="95"/>
      <c r="F50" s="94">
        <v>44</v>
      </c>
      <c r="G50" s="94">
        <f t="shared" si="1"/>
        <v>5.1723097469793302</v>
      </c>
      <c r="H50" s="95"/>
      <c r="I50" s="122"/>
      <c r="J50" s="122"/>
      <c r="K50" s="122"/>
    </row>
    <row r="51" spans="2:11" x14ac:dyDescent="0.2">
      <c r="B51" s="104"/>
      <c r="C51" s="94"/>
      <c r="D51" s="94"/>
      <c r="E51" s="95"/>
      <c r="F51" s="94">
        <v>46</v>
      </c>
      <c r="G51" s="94">
        <f t="shared" si="1"/>
        <v>5.4895133218960055</v>
      </c>
      <c r="H51" s="95"/>
      <c r="I51" s="122"/>
      <c r="J51" s="122"/>
      <c r="K51" s="122"/>
    </row>
    <row r="52" spans="2:11" x14ac:dyDescent="0.2">
      <c r="B52" s="104"/>
      <c r="C52" s="94"/>
      <c r="D52" s="94"/>
      <c r="E52" s="95"/>
      <c r="F52" s="94">
        <v>48</v>
      </c>
      <c r="G52" s="94">
        <f t="shared" si="1"/>
        <v>5.7615117007548911</v>
      </c>
      <c r="H52" s="95"/>
      <c r="I52" s="122"/>
      <c r="J52" s="122"/>
      <c r="K52" s="122"/>
    </row>
    <row r="53" spans="2:11" x14ac:dyDescent="0.2">
      <c r="B53" s="104"/>
      <c r="C53" s="94"/>
      <c r="D53" s="94"/>
      <c r="E53" s="95"/>
      <c r="F53" s="94">
        <v>50</v>
      </c>
      <c r="G53" s="94">
        <f t="shared" si="1"/>
        <v>5.9923503322567804</v>
      </c>
      <c r="H53" s="95"/>
      <c r="I53" s="122"/>
      <c r="J53" s="122"/>
      <c r="K53" s="122"/>
    </row>
    <row r="54" spans="2:11" x14ac:dyDescent="0.2">
      <c r="B54" s="104"/>
      <c r="C54" s="94"/>
      <c r="D54" s="94"/>
      <c r="E54" s="95"/>
      <c r="F54" s="94">
        <v>52</v>
      </c>
      <c r="G54" s="94">
        <f t="shared" si="1"/>
        <v>6.1866214360730218</v>
      </c>
      <c r="H54" s="95"/>
      <c r="I54" s="122"/>
      <c r="J54" s="122"/>
      <c r="K54" s="122"/>
    </row>
    <row r="55" spans="2:11" x14ac:dyDescent="0.2">
      <c r="B55" s="104"/>
      <c r="C55" s="94"/>
      <c r="D55" s="94"/>
      <c r="E55" s="95"/>
      <c r="F55" s="94">
        <v>54</v>
      </c>
      <c r="G55" s="94">
        <f t="shared" si="1"/>
        <v>6.3490081952264932</v>
      </c>
      <c r="H55" s="95"/>
      <c r="I55" s="122"/>
      <c r="J55" s="122"/>
      <c r="K55" s="122"/>
    </row>
    <row r="56" spans="2:11" x14ac:dyDescent="0.2">
      <c r="B56" s="104"/>
      <c r="C56" s="94"/>
      <c r="D56" s="94"/>
      <c r="E56" s="95"/>
      <c r="F56" s="94">
        <v>56</v>
      </c>
      <c r="G56" s="94">
        <f t="shared" si="1"/>
        <v>6.483995243873327</v>
      </c>
      <c r="H56" s="95"/>
      <c r="I56" s="122"/>
      <c r="J56" s="122"/>
      <c r="K56" s="122"/>
    </row>
    <row r="57" spans="2:11" x14ac:dyDescent="0.2">
      <c r="B57" s="104"/>
      <c r="C57" s="94"/>
      <c r="D57" s="94"/>
      <c r="E57" s="95"/>
      <c r="F57" s="94"/>
      <c r="G57" s="94"/>
      <c r="H57" s="95"/>
      <c r="I57" s="122"/>
      <c r="J57" s="122"/>
      <c r="K57" s="122"/>
    </row>
    <row r="58" spans="2:11" x14ac:dyDescent="0.2">
      <c r="B58" s="104"/>
      <c r="C58" s="94"/>
      <c r="D58" s="94"/>
      <c r="E58" s="95"/>
      <c r="F58" s="94"/>
      <c r="G58" s="94"/>
      <c r="H58" s="4"/>
      <c r="I58" s="122"/>
      <c r="J58" s="122"/>
      <c r="K58" s="122"/>
    </row>
    <row r="59" spans="2:11" x14ac:dyDescent="0.2">
      <c r="B59" s="104"/>
      <c r="C59" s="94"/>
      <c r="D59" s="94"/>
      <c r="E59" s="95"/>
      <c r="F59" s="94"/>
      <c r="G59" s="94"/>
      <c r="H59" s="4"/>
      <c r="I59" s="122"/>
      <c r="J59" s="122"/>
      <c r="K59" s="122"/>
    </row>
    <row r="60" spans="2:11" x14ac:dyDescent="0.2">
      <c r="B60" s="104"/>
      <c r="C60" s="94"/>
      <c r="D60" s="94"/>
      <c r="E60" s="95"/>
      <c r="F60" s="94"/>
      <c r="G60" s="94"/>
      <c r="H60" s="4"/>
      <c r="I60" s="122"/>
      <c r="J60" s="122"/>
      <c r="K60" s="122"/>
    </row>
    <row r="61" spans="2:11" x14ac:dyDescent="0.2">
      <c r="B61" s="104"/>
      <c r="C61" s="94"/>
      <c r="D61" s="94"/>
      <c r="E61" s="95"/>
      <c r="F61" s="94"/>
      <c r="G61" s="94"/>
      <c r="H61" s="4"/>
      <c r="I61" s="122"/>
      <c r="J61" s="122"/>
      <c r="K61" s="122"/>
    </row>
    <row r="62" spans="2:11" x14ac:dyDescent="0.2">
      <c r="B62" s="104"/>
      <c r="C62" s="94"/>
      <c r="D62" s="94"/>
      <c r="E62" s="95"/>
      <c r="F62" s="94"/>
      <c r="G62" s="94"/>
      <c r="H62" s="122"/>
      <c r="I62" s="122"/>
      <c r="J62" s="122"/>
    </row>
    <row r="63" spans="2:11" x14ac:dyDescent="0.2">
      <c r="B63" s="122"/>
      <c r="C63" s="94"/>
      <c r="D63" s="94"/>
      <c r="E63" s="95"/>
      <c r="F63" s="94"/>
      <c r="G63" s="94"/>
      <c r="H63" s="122"/>
      <c r="I63" s="122"/>
      <c r="J63" s="122"/>
    </row>
    <row r="64" spans="2:11" x14ac:dyDescent="0.2">
      <c r="B64" s="122"/>
      <c r="C64" s="94"/>
      <c r="D64" s="94"/>
      <c r="E64" s="95"/>
      <c r="F64" s="94"/>
      <c r="G64" s="94"/>
      <c r="H64" s="122"/>
      <c r="I64" s="122"/>
      <c r="J64" s="122"/>
    </row>
    <row r="65" spans="2:12" x14ac:dyDescent="0.2">
      <c r="B65" s="122"/>
      <c r="C65" s="94"/>
      <c r="D65" s="94"/>
      <c r="E65" s="95"/>
      <c r="F65" s="94"/>
      <c r="G65" s="94"/>
      <c r="H65" s="122"/>
      <c r="I65" s="122"/>
      <c r="J65" s="122"/>
    </row>
    <row r="66" spans="2:12" x14ac:dyDescent="0.2">
      <c r="B66" s="122"/>
      <c r="C66" s="94"/>
      <c r="D66" s="94"/>
      <c r="E66" s="95"/>
      <c r="F66" s="94"/>
      <c r="G66" s="94"/>
      <c r="H66" s="122"/>
      <c r="I66" s="122"/>
      <c r="J66" s="122"/>
    </row>
    <row r="67" spans="2:12" x14ac:dyDescent="0.2">
      <c r="B67" s="122"/>
      <c r="C67" s="94"/>
      <c r="D67" s="94"/>
      <c r="E67" s="95"/>
      <c r="F67" s="94"/>
      <c r="G67" s="94"/>
      <c r="H67" s="122"/>
      <c r="I67" s="122"/>
      <c r="J67" s="122"/>
    </row>
    <row r="68" spans="2:12" x14ac:dyDescent="0.2">
      <c r="B68" s="122"/>
      <c r="C68" s="94"/>
      <c r="D68" s="94"/>
      <c r="E68" s="95"/>
      <c r="F68" s="94"/>
      <c r="G68" s="94"/>
      <c r="H68" s="122"/>
      <c r="I68" s="122"/>
      <c r="J68" s="122"/>
    </row>
    <row r="69" spans="2:12" s="4" customFormat="1" x14ac:dyDescent="0.2">
      <c r="B69" s="122"/>
      <c r="C69" s="94"/>
      <c r="D69" s="94"/>
      <c r="E69" s="95"/>
      <c r="F69" s="94"/>
      <c r="G69" s="94"/>
      <c r="H69" s="122"/>
      <c r="I69" s="122"/>
      <c r="J69" s="122"/>
      <c r="K69" s="2"/>
    </row>
    <row r="70" spans="2:12" s="4" customFormat="1" x14ac:dyDescent="0.2">
      <c r="B70" s="122"/>
      <c r="C70" s="94"/>
      <c r="D70" s="94"/>
      <c r="E70" s="95"/>
      <c r="F70" s="94"/>
      <c r="G70" s="94"/>
      <c r="I70" s="122"/>
      <c r="J70" s="122"/>
      <c r="L70" s="2"/>
    </row>
    <row r="71" spans="2:12" s="4" customFormat="1" x14ac:dyDescent="0.2">
      <c r="B71" s="122"/>
      <c r="C71" s="94"/>
      <c r="D71" s="94"/>
      <c r="E71" s="95"/>
      <c r="F71" s="94"/>
      <c r="G71" s="94"/>
      <c r="I71" s="122"/>
      <c r="J71" s="122"/>
    </row>
    <row r="72" spans="2:12" s="4" customFormat="1" x14ac:dyDescent="0.2">
      <c r="B72" s="82"/>
      <c r="C72" s="94"/>
      <c r="D72" s="94"/>
      <c r="E72" s="95"/>
      <c r="F72" s="94"/>
      <c r="G72" s="94"/>
    </row>
    <row r="73" spans="2:12" s="4" customFormat="1" x14ac:dyDescent="0.2">
      <c r="B73" s="82"/>
      <c r="C73" s="94"/>
      <c r="D73" s="94"/>
      <c r="E73" s="95"/>
      <c r="F73" s="94"/>
      <c r="G73" s="94"/>
    </row>
    <row r="74" spans="2:12" s="4" customFormat="1" x14ac:dyDescent="0.2">
      <c r="B74" s="82"/>
      <c r="C74" s="94"/>
      <c r="D74" s="94"/>
      <c r="E74" s="95"/>
      <c r="F74" s="94"/>
      <c r="G74" s="94"/>
    </row>
    <row r="75" spans="2:12" s="4" customFormat="1" x14ac:dyDescent="0.2">
      <c r="B75" s="82"/>
      <c r="C75" s="94"/>
      <c r="D75" s="94"/>
      <c r="E75" s="95"/>
      <c r="F75" s="94"/>
      <c r="G75" s="94"/>
    </row>
    <row r="76" spans="2:12" s="4" customFormat="1" x14ac:dyDescent="0.2">
      <c r="B76" s="82"/>
      <c r="C76" s="94"/>
      <c r="D76" s="94"/>
      <c r="E76" s="95"/>
      <c r="F76" s="94"/>
      <c r="G76" s="94"/>
    </row>
    <row r="77" spans="2:12" s="4" customFormat="1" x14ac:dyDescent="0.2">
      <c r="B77" s="82"/>
      <c r="C77" s="94"/>
      <c r="D77" s="94"/>
      <c r="E77" s="95"/>
      <c r="F77" s="94"/>
      <c r="G77" s="94"/>
    </row>
    <row r="78" spans="2:12" s="4" customFormat="1" x14ac:dyDescent="0.2">
      <c r="B78" s="82"/>
      <c r="C78" s="94"/>
      <c r="D78" s="94"/>
      <c r="E78" s="95"/>
      <c r="F78" s="94"/>
      <c r="G78" s="94"/>
    </row>
    <row r="79" spans="2:12" s="4" customFormat="1" x14ac:dyDescent="0.2">
      <c r="B79" s="82"/>
      <c r="C79" s="94"/>
      <c r="D79" s="94"/>
      <c r="E79" s="95"/>
      <c r="F79" s="94"/>
      <c r="G79" s="94"/>
    </row>
    <row r="80" spans="2:12" s="4" customFormat="1" x14ac:dyDescent="0.2">
      <c r="B80" s="82"/>
      <c r="C80" s="94"/>
      <c r="D80" s="94"/>
      <c r="E80" s="95"/>
      <c r="F80" s="94"/>
      <c r="G80" s="94"/>
    </row>
    <row r="81" spans="2:7" s="4" customFormat="1" ht="13.5" customHeight="1" x14ac:dyDescent="0.2">
      <c r="B81" s="82"/>
      <c r="C81" s="94"/>
      <c r="D81" s="94"/>
      <c r="E81" s="95"/>
      <c r="F81" s="94"/>
      <c r="G81" s="94"/>
    </row>
    <row r="82" spans="2:7" s="4" customFormat="1" x14ac:dyDescent="0.2">
      <c r="B82" s="82"/>
      <c r="C82" s="94"/>
      <c r="D82" s="94"/>
      <c r="E82" s="95"/>
      <c r="F82" s="94"/>
      <c r="G82" s="94"/>
    </row>
    <row r="83" spans="2:7" s="4" customFormat="1" x14ac:dyDescent="0.2">
      <c r="B83" s="82"/>
      <c r="C83" s="94"/>
      <c r="D83" s="94"/>
      <c r="E83" s="95"/>
      <c r="F83" s="94"/>
      <c r="G83" s="94"/>
    </row>
    <row r="84" spans="2:7" s="4" customFormat="1" x14ac:dyDescent="0.2">
      <c r="B84" s="10"/>
      <c r="C84" s="94"/>
      <c r="D84" s="94"/>
      <c r="E84" s="95"/>
      <c r="F84" s="94"/>
      <c r="G84" s="94"/>
    </row>
    <row r="85" spans="2:7" s="4" customFormat="1" x14ac:dyDescent="0.2">
      <c r="B85" s="10"/>
      <c r="C85" s="10"/>
      <c r="D85" s="94"/>
      <c r="E85" s="95"/>
      <c r="F85" s="94"/>
      <c r="G85" s="94"/>
    </row>
    <row r="86" spans="2:7" s="4" customFormat="1" x14ac:dyDescent="0.2">
      <c r="B86" s="10"/>
      <c r="C86" s="10"/>
      <c r="D86" s="94"/>
      <c r="E86" s="95"/>
      <c r="F86" s="94"/>
      <c r="G86" s="94"/>
    </row>
    <row r="87" spans="2:7" s="4" customFormat="1" x14ac:dyDescent="0.2">
      <c r="B87" s="10"/>
      <c r="C87" s="10"/>
      <c r="D87" s="10"/>
      <c r="E87" s="10"/>
      <c r="F87" s="94"/>
      <c r="G87" s="94"/>
    </row>
    <row r="88" spans="2:7" s="4" customFormat="1" x14ac:dyDescent="0.2">
      <c r="B88" s="10"/>
      <c r="C88" s="10"/>
      <c r="D88" s="10"/>
      <c r="E88" s="10"/>
      <c r="F88" s="94"/>
      <c r="G88" s="94"/>
    </row>
    <row r="89" spans="2:7" s="4" customFormat="1" x14ac:dyDescent="0.2">
      <c r="B89" s="10"/>
      <c r="C89" s="10"/>
      <c r="D89" s="10"/>
      <c r="E89" s="10"/>
      <c r="F89" s="94"/>
      <c r="G89" s="94"/>
    </row>
    <row r="90" spans="2:7" s="4" customFormat="1" x14ac:dyDescent="0.2">
      <c r="B90" s="10"/>
      <c r="C90" s="10"/>
      <c r="D90" s="10"/>
      <c r="E90" s="10"/>
      <c r="F90" s="94"/>
      <c r="G90" s="94"/>
    </row>
    <row r="91" spans="2:7" s="4" customFormat="1" x14ac:dyDescent="0.2">
      <c r="B91" s="10"/>
      <c r="C91" s="10"/>
      <c r="D91" s="10"/>
      <c r="E91" s="10"/>
      <c r="F91" s="94"/>
      <c r="G91" s="94"/>
    </row>
    <row r="92" spans="2:7" s="4" customFormat="1" ht="13.5" customHeight="1" x14ac:dyDescent="0.2">
      <c r="B92" s="10"/>
      <c r="C92" s="10"/>
      <c r="D92" s="10"/>
      <c r="E92" s="10"/>
      <c r="F92" s="94"/>
      <c r="G92" s="94"/>
    </row>
    <row r="93" spans="2:7" s="4" customFormat="1" x14ac:dyDescent="0.2">
      <c r="B93" s="10"/>
      <c r="C93" s="10"/>
      <c r="D93" s="10"/>
      <c r="E93" s="10"/>
      <c r="F93" s="94"/>
      <c r="G93" s="94"/>
    </row>
    <row r="94" spans="2:7" s="4" customFormat="1" x14ac:dyDescent="0.2">
      <c r="B94" s="10"/>
      <c r="C94" s="10"/>
      <c r="D94" s="10"/>
      <c r="E94" s="10"/>
      <c r="F94" s="94"/>
      <c r="G94" s="94"/>
    </row>
    <row r="95" spans="2:7" s="4" customFormat="1" x14ac:dyDescent="0.2">
      <c r="B95" s="10"/>
      <c r="C95" s="10"/>
      <c r="D95" s="10"/>
      <c r="E95" s="10"/>
      <c r="F95" s="94"/>
      <c r="G95" s="94"/>
    </row>
    <row r="96" spans="2:7" s="4" customFormat="1" x14ac:dyDescent="0.2">
      <c r="B96" s="10"/>
      <c r="C96" s="10"/>
      <c r="D96" s="10"/>
      <c r="E96" s="10"/>
      <c r="F96" s="94"/>
      <c r="G96" s="94"/>
    </row>
    <row r="97" spans="2:12" s="4" customFormat="1" x14ac:dyDescent="0.2">
      <c r="B97" s="10"/>
      <c r="C97" s="10"/>
      <c r="D97" s="10"/>
      <c r="E97" s="10"/>
      <c r="F97" s="94"/>
      <c r="G97" s="94"/>
    </row>
    <row r="98" spans="2:12" s="4" customFormat="1" x14ac:dyDescent="0.2">
      <c r="B98" s="10"/>
      <c r="C98" s="10"/>
      <c r="D98" s="10"/>
      <c r="E98" s="10"/>
      <c r="F98" s="94"/>
      <c r="G98" s="94"/>
    </row>
    <row r="99" spans="2:12" s="4" customFormat="1" x14ac:dyDescent="0.2">
      <c r="B99" s="10"/>
      <c r="C99" s="10"/>
      <c r="D99" s="10"/>
      <c r="E99" s="10"/>
      <c r="F99" s="94"/>
      <c r="G99" s="94"/>
    </row>
    <row r="100" spans="2:12" s="4" customFormat="1" x14ac:dyDescent="0.2">
      <c r="B100" s="10"/>
      <c r="C100" s="10"/>
      <c r="D100" s="10"/>
      <c r="E100" s="10"/>
      <c r="F100" s="94"/>
      <c r="G100" s="94"/>
    </row>
    <row r="101" spans="2:12" s="4" customFormat="1" x14ac:dyDescent="0.2">
      <c r="B101" s="10"/>
      <c r="C101" s="10"/>
      <c r="D101" s="10"/>
      <c r="E101" s="10"/>
      <c r="F101" s="94"/>
      <c r="G101" s="94"/>
    </row>
    <row r="102" spans="2:12" s="4" customFormat="1" ht="13.5" customHeight="1" x14ac:dyDescent="0.2">
      <c r="B102" s="10"/>
      <c r="C102" s="10"/>
      <c r="D102" s="10"/>
      <c r="E102" s="10"/>
      <c r="F102" s="94"/>
      <c r="G102" s="94"/>
    </row>
    <row r="103" spans="2:12" x14ac:dyDescent="0.2">
      <c r="B103" s="10"/>
      <c r="C103" s="10"/>
      <c r="D103" s="10"/>
      <c r="E103" s="10"/>
      <c r="F103" s="94"/>
      <c r="G103" s="94"/>
      <c r="H103" s="4"/>
      <c r="I103" s="4"/>
      <c r="J103" s="4"/>
      <c r="K103" s="4"/>
      <c r="L103" s="4"/>
    </row>
    <row r="104" spans="2:12" x14ac:dyDescent="0.2">
      <c r="B104" s="10"/>
      <c r="C104" s="10"/>
      <c r="D104" s="10"/>
      <c r="E104" s="10"/>
      <c r="F104" s="94"/>
      <c r="G104" s="94"/>
      <c r="H104" s="4"/>
      <c r="I104" s="4"/>
      <c r="J104" s="4"/>
      <c r="K104" s="4"/>
      <c r="L104" s="4"/>
    </row>
    <row r="105" spans="2:12" x14ac:dyDescent="0.2">
      <c r="B105" s="10"/>
      <c r="C105" s="10"/>
      <c r="D105" s="10"/>
      <c r="E105" s="10"/>
      <c r="F105" s="94"/>
      <c r="G105" s="94"/>
      <c r="H105" s="4"/>
      <c r="I105" s="4"/>
      <c r="J105" s="4"/>
    </row>
    <row r="106" spans="2:12" x14ac:dyDescent="0.2">
      <c r="B106" s="10"/>
      <c r="C106" s="10"/>
      <c r="D106" s="10"/>
      <c r="E106" s="10"/>
      <c r="F106" s="94"/>
      <c r="G106" s="94"/>
      <c r="H106" s="4"/>
      <c r="I106" s="4"/>
      <c r="J106" s="4"/>
    </row>
    <row r="107" spans="2:12" x14ac:dyDescent="0.2">
      <c r="B107" s="10"/>
      <c r="C107" s="10"/>
      <c r="D107" s="10"/>
      <c r="E107" s="10"/>
      <c r="F107" s="94"/>
      <c r="G107" s="94"/>
    </row>
    <row r="108" spans="2:12" x14ac:dyDescent="0.2">
      <c r="B108" s="10"/>
      <c r="C108" s="10"/>
      <c r="D108" s="10"/>
      <c r="E108" s="10"/>
      <c r="F108" s="94"/>
      <c r="G108" s="94"/>
    </row>
    <row r="109" spans="2:12" x14ac:dyDescent="0.2">
      <c r="B109" s="10"/>
      <c r="C109" s="10"/>
      <c r="D109" s="10"/>
      <c r="E109" s="10"/>
      <c r="F109" s="94"/>
      <c r="G109" s="94"/>
    </row>
    <row r="110" spans="2:12" x14ac:dyDescent="0.2">
      <c r="B110" s="10"/>
      <c r="C110" s="10"/>
      <c r="D110" s="10"/>
      <c r="E110" s="10"/>
      <c r="F110" s="94"/>
      <c r="G110" s="94"/>
    </row>
    <row r="111" spans="2:12" x14ac:dyDescent="0.2">
      <c r="B111" s="10"/>
      <c r="C111" s="10"/>
      <c r="D111" s="10"/>
      <c r="E111" s="10"/>
      <c r="F111" s="94"/>
      <c r="G111" s="94"/>
    </row>
    <row r="112" spans="2:12" x14ac:dyDescent="0.2">
      <c r="B112" s="10"/>
      <c r="C112" s="10"/>
      <c r="D112" s="10"/>
      <c r="E112" s="10"/>
      <c r="F112" s="94"/>
      <c r="G112" s="94"/>
    </row>
    <row r="113" spans="2:7" x14ac:dyDescent="0.2">
      <c r="B113" s="10"/>
      <c r="C113" s="10"/>
      <c r="D113" s="10"/>
      <c r="E113" s="10"/>
      <c r="F113" s="94"/>
      <c r="G113" s="94"/>
    </row>
    <row r="114" spans="2:7" x14ac:dyDescent="0.2">
      <c r="B114" s="10"/>
      <c r="C114" s="10"/>
      <c r="D114" s="10"/>
      <c r="E114" s="10"/>
      <c r="F114" s="94"/>
      <c r="G114" s="94"/>
    </row>
    <row r="115" spans="2:7" x14ac:dyDescent="0.2">
      <c r="B115" s="10"/>
      <c r="C115" s="10"/>
      <c r="D115" s="10"/>
      <c r="E115" s="10"/>
      <c r="F115" s="94"/>
      <c r="G115" s="94"/>
    </row>
    <row r="116" spans="2:7" x14ac:dyDescent="0.2">
      <c r="B116" s="10"/>
      <c r="C116" s="10"/>
      <c r="D116" s="10"/>
      <c r="E116" s="10"/>
      <c r="F116" s="94"/>
      <c r="G116" s="94"/>
    </row>
    <row r="117" spans="2:7" x14ac:dyDescent="0.2">
      <c r="B117" s="10"/>
      <c r="C117" s="10"/>
      <c r="D117" s="10"/>
      <c r="E117" s="10"/>
      <c r="F117" s="94"/>
      <c r="G117" s="94"/>
    </row>
    <row r="118" spans="2:7" x14ac:dyDescent="0.2">
      <c r="B118" s="10"/>
      <c r="C118" s="10"/>
      <c r="D118" s="10"/>
      <c r="E118" s="10"/>
      <c r="F118" s="94"/>
      <c r="G118" s="94"/>
    </row>
    <row r="119" spans="2:7" x14ac:dyDescent="0.2">
      <c r="B119" s="10"/>
      <c r="C119" s="10"/>
      <c r="D119" s="10"/>
      <c r="E119" s="10"/>
      <c r="F119" s="94"/>
      <c r="G119" s="94"/>
    </row>
    <row r="120" spans="2:7" x14ac:dyDescent="0.2">
      <c r="B120" s="10"/>
      <c r="C120" s="10"/>
      <c r="D120" s="10"/>
      <c r="E120" s="10"/>
      <c r="F120" s="94"/>
      <c r="G120" s="94"/>
    </row>
    <row r="121" spans="2:7" x14ac:dyDescent="0.2">
      <c r="B121" s="10"/>
      <c r="C121" s="10"/>
      <c r="D121" s="10"/>
      <c r="E121" s="10"/>
      <c r="F121" s="94"/>
      <c r="G121" s="94"/>
    </row>
    <row r="122" spans="2:7" x14ac:dyDescent="0.2">
      <c r="B122" s="10"/>
      <c r="C122" s="10"/>
      <c r="D122" s="10"/>
      <c r="E122" s="10"/>
      <c r="F122" s="94"/>
      <c r="G122" s="94"/>
    </row>
    <row r="123" spans="2:7" x14ac:dyDescent="0.2">
      <c r="B123" s="10"/>
      <c r="C123" s="10"/>
      <c r="D123" s="10"/>
      <c r="E123" s="10"/>
      <c r="F123" s="94"/>
      <c r="G123" s="94"/>
    </row>
    <row r="124" spans="2:7" x14ac:dyDescent="0.2">
      <c r="B124" s="10"/>
      <c r="C124" s="10"/>
      <c r="D124" s="10"/>
      <c r="E124" s="10"/>
      <c r="F124" s="94"/>
      <c r="G124" s="94"/>
    </row>
    <row r="125" spans="2:7" x14ac:dyDescent="0.2">
      <c r="B125" s="10"/>
      <c r="C125" s="10"/>
      <c r="D125" s="10"/>
      <c r="E125" s="10"/>
      <c r="F125" s="94"/>
      <c r="G125" s="94"/>
    </row>
    <row r="126" spans="2:7" x14ac:dyDescent="0.2">
      <c r="B126" s="10"/>
      <c r="C126" s="10"/>
      <c r="D126" s="10"/>
      <c r="E126" s="10"/>
      <c r="F126" s="94"/>
      <c r="G126" s="94"/>
    </row>
    <row r="127" spans="2:7" x14ac:dyDescent="0.2">
      <c r="B127" s="10"/>
      <c r="C127" s="10"/>
      <c r="D127" s="10"/>
      <c r="E127" s="10"/>
      <c r="F127" s="94"/>
      <c r="G127" s="94"/>
    </row>
    <row r="128" spans="2:7" x14ac:dyDescent="0.2">
      <c r="B128" s="10"/>
      <c r="C128" s="10"/>
      <c r="D128" s="10"/>
      <c r="E128" s="10"/>
      <c r="F128" s="94"/>
      <c r="G128" s="94"/>
    </row>
    <row r="129" spans="2:7" x14ac:dyDescent="0.2">
      <c r="B129" s="10"/>
      <c r="C129" s="10"/>
      <c r="D129" s="10"/>
      <c r="E129" s="10"/>
      <c r="F129" s="94"/>
      <c r="G129" s="94"/>
    </row>
    <row r="130" spans="2:7" x14ac:dyDescent="0.2">
      <c r="B130" s="10"/>
      <c r="C130" s="10"/>
      <c r="D130" s="10"/>
      <c r="E130" s="10"/>
      <c r="F130" s="94"/>
      <c r="G130" s="94"/>
    </row>
    <row r="131" spans="2:7" x14ac:dyDescent="0.2">
      <c r="B131" s="10"/>
      <c r="C131" s="10"/>
      <c r="D131" s="10"/>
      <c r="E131" s="10"/>
      <c r="F131" s="94"/>
      <c r="G131" s="94"/>
    </row>
    <row r="132" spans="2:7" x14ac:dyDescent="0.2">
      <c r="B132" s="10"/>
      <c r="C132" s="10"/>
      <c r="D132" s="10"/>
      <c r="E132" s="10"/>
      <c r="F132" s="94"/>
      <c r="G132" s="94"/>
    </row>
    <row r="133" spans="2:7" x14ac:dyDescent="0.2">
      <c r="B133" s="10"/>
      <c r="C133" s="10"/>
      <c r="D133" s="10"/>
      <c r="E133" s="10"/>
      <c r="F133" s="94"/>
      <c r="G133" s="94"/>
    </row>
    <row r="134" spans="2:7" x14ac:dyDescent="0.2">
      <c r="B134" s="10"/>
      <c r="C134" s="10"/>
      <c r="D134" s="10"/>
      <c r="E134" s="10"/>
      <c r="F134" s="94"/>
      <c r="G134" s="94"/>
    </row>
    <row r="135" spans="2:7" x14ac:dyDescent="0.2">
      <c r="B135" s="10"/>
      <c r="C135" s="10"/>
      <c r="D135" s="10"/>
      <c r="E135" s="10"/>
      <c r="F135" s="94"/>
      <c r="G135" s="94"/>
    </row>
    <row r="136" spans="2:7" x14ac:dyDescent="0.2">
      <c r="B136" s="10"/>
      <c r="C136" s="10"/>
      <c r="D136" s="10"/>
      <c r="E136" s="10"/>
      <c r="F136" s="94"/>
      <c r="G136" s="94"/>
    </row>
    <row r="137" spans="2:7" x14ac:dyDescent="0.2">
      <c r="B137" s="10"/>
      <c r="C137" s="10"/>
      <c r="D137" s="10"/>
      <c r="E137" s="10"/>
      <c r="F137" s="94"/>
      <c r="G137" s="94"/>
    </row>
    <row r="138" spans="2:7" x14ac:dyDescent="0.2">
      <c r="B138" s="10"/>
      <c r="C138" s="10"/>
      <c r="D138" s="10"/>
      <c r="E138" s="10"/>
      <c r="F138" s="94"/>
      <c r="G138" s="94"/>
    </row>
    <row r="139" spans="2:7" x14ac:dyDescent="0.2">
      <c r="B139" s="10"/>
      <c r="C139" s="10"/>
      <c r="D139" s="10"/>
      <c r="E139" s="10"/>
      <c r="F139" s="94"/>
      <c r="G139" s="94"/>
    </row>
    <row r="140" spans="2:7" x14ac:dyDescent="0.2">
      <c r="B140" s="10"/>
      <c r="C140" s="10"/>
      <c r="D140" s="10"/>
      <c r="E140" s="10"/>
      <c r="F140" s="94"/>
      <c r="G140" s="94"/>
    </row>
    <row r="141" spans="2:7" x14ac:dyDescent="0.2">
      <c r="B141" s="10"/>
      <c r="C141" s="10"/>
      <c r="D141" s="10"/>
      <c r="E141" s="10"/>
      <c r="F141" s="94"/>
      <c r="G141" s="94"/>
    </row>
    <row r="142" spans="2:7" x14ac:dyDescent="0.2">
      <c r="B142" s="10"/>
      <c r="C142" s="10"/>
      <c r="D142" s="10"/>
      <c r="E142" s="10"/>
      <c r="F142" s="94"/>
      <c r="G142" s="94"/>
    </row>
    <row r="143" spans="2:7" x14ac:dyDescent="0.2">
      <c r="B143" s="10"/>
      <c r="C143" s="10"/>
      <c r="D143" s="10"/>
      <c r="E143" s="10"/>
      <c r="F143" s="94"/>
      <c r="G143" s="94"/>
    </row>
    <row r="144" spans="2:7" x14ac:dyDescent="0.2">
      <c r="B144" s="10"/>
      <c r="C144" s="10"/>
      <c r="D144" s="10"/>
      <c r="E144" s="10"/>
      <c r="F144" s="94"/>
      <c r="G144" s="94"/>
    </row>
    <row r="145" spans="2:7" x14ac:dyDescent="0.2">
      <c r="B145" s="10"/>
      <c r="C145" s="10"/>
      <c r="D145" s="10"/>
      <c r="E145" s="10"/>
      <c r="F145" s="94"/>
      <c r="G145" s="94"/>
    </row>
    <row r="146" spans="2:7" x14ac:dyDescent="0.2">
      <c r="B146" s="10"/>
      <c r="C146" s="10"/>
      <c r="D146" s="10"/>
      <c r="E146" s="10"/>
      <c r="F146" s="94"/>
      <c r="G146" s="94"/>
    </row>
    <row r="147" spans="2:7" x14ac:dyDescent="0.2">
      <c r="B147" s="10"/>
      <c r="C147" s="10"/>
      <c r="D147" s="10"/>
      <c r="E147" s="10"/>
      <c r="F147" s="94"/>
      <c r="G147" s="94"/>
    </row>
    <row r="148" spans="2:7" x14ac:dyDescent="0.2">
      <c r="B148" s="10"/>
      <c r="C148" s="10"/>
      <c r="D148" s="10"/>
      <c r="E148" s="10"/>
      <c r="F148" s="94"/>
      <c r="G148" s="94"/>
    </row>
    <row r="149" spans="2:7" x14ac:dyDescent="0.2">
      <c r="B149" s="10"/>
      <c r="C149" s="10"/>
      <c r="D149" s="10"/>
      <c r="E149" s="10"/>
      <c r="F149" s="94"/>
      <c r="G149" s="94"/>
    </row>
    <row r="150" spans="2:7" x14ac:dyDescent="0.2">
      <c r="B150" s="10"/>
      <c r="C150" s="10"/>
      <c r="D150" s="10"/>
      <c r="E150" s="10"/>
      <c r="F150" s="94"/>
      <c r="G150" s="94"/>
    </row>
    <row r="151" spans="2:7" x14ac:dyDescent="0.2">
      <c r="B151" s="10"/>
      <c r="C151" s="10"/>
      <c r="D151" s="10"/>
      <c r="E151" s="10"/>
      <c r="F151" s="94"/>
      <c r="G151" s="94"/>
    </row>
    <row r="152" spans="2:7" x14ac:dyDescent="0.2">
      <c r="B152" s="10"/>
      <c r="C152" s="10"/>
      <c r="D152" s="10"/>
      <c r="E152" s="10"/>
      <c r="F152" s="94"/>
      <c r="G152" s="94"/>
    </row>
    <row r="153" spans="2:7" x14ac:dyDescent="0.2">
      <c r="B153" s="10"/>
      <c r="C153" s="10"/>
      <c r="D153" s="10"/>
      <c r="E153" s="10"/>
      <c r="F153" s="94"/>
      <c r="G153" s="94"/>
    </row>
    <row r="154" spans="2:7" x14ac:dyDescent="0.2">
      <c r="B154" s="10"/>
      <c r="C154" s="10"/>
      <c r="D154" s="10"/>
      <c r="E154" s="10"/>
      <c r="F154" s="94"/>
      <c r="G154" s="94"/>
    </row>
    <row r="155" spans="2:7" x14ac:dyDescent="0.2">
      <c r="B155" s="10"/>
      <c r="C155" s="10"/>
      <c r="D155" s="10"/>
      <c r="E155" s="10"/>
      <c r="F155" s="94"/>
      <c r="G155" s="94"/>
    </row>
    <row r="156" spans="2:7" x14ac:dyDescent="0.2">
      <c r="B156" s="10"/>
      <c r="C156" s="10"/>
      <c r="D156" s="10"/>
      <c r="E156" s="10"/>
      <c r="F156" s="94"/>
      <c r="G156" s="94"/>
    </row>
    <row r="157" spans="2:7" x14ac:dyDescent="0.2">
      <c r="B157" s="10"/>
      <c r="C157" s="10"/>
      <c r="D157" s="10"/>
      <c r="E157" s="10"/>
      <c r="F157" s="94"/>
      <c r="G157" s="94"/>
    </row>
    <row r="158" spans="2:7" x14ac:dyDescent="0.2">
      <c r="B158" s="10"/>
      <c r="C158" s="10"/>
      <c r="D158" s="10"/>
      <c r="E158" s="10"/>
      <c r="F158" s="94"/>
      <c r="G158" s="94"/>
    </row>
    <row r="159" spans="2:7" x14ac:dyDescent="0.2">
      <c r="B159" s="10"/>
      <c r="C159" s="10"/>
      <c r="D159" s="10"/>
      <c r="E159" s="10"/>
      <c r="F159" s="94"/>
      <c r="G159" s="94"/>
    </row>
    <row r="160" spans="2:7" x14ac:dyDescent="0.2">
      <c r="B160" s="10"/>
      <c r="C160" s="10"/>
      <c r="D160" s="10"/>
      <c r="E160" s="10"/>
      <c r="F160" s="94"/>
      <c r="G160" s="94"/>
    </row>
    <row r="161" spans="2:8" x14ac:dyDescent="0.2">
      <c r="B161" s="10"/>
      <c r="C161" s="10"/>
      <c r="D161" s="10"/>
      <c r="E161" s="10"/>
      <c r="F161" s="94"/>
      <c r="G161" s="94"/>
    </row>
    <row r="162" spans="2:8" x14ac:dyDescent="0.2">
      <c r="B162" s="10"/>
      <c r="C162" s="10"/>
      <c r="D162" s="10"/>
      <c r="E162" s="10"/>
      <c r="F162" s="94"/>
      <c r="G162" s="94"/>
    </row>
    <row r="163" spans="2:8" x14ac:dyDescent="0.2">
      <c r="B163" s="10"/>
      <c r="C163" s="10"/>
      <c r="D163" s="10"/>
      <c r="E163" s="10"/>
      <c r="F163" s="94"/>
      <c r="G163" s="94"/>
    </row>
    <row r="164" spans="2:8" x14ac:dyDescent="0.2">
      <c r="B164" s="10"/>
      <c r="C164" s="10"/>
      <c r="D164" s="10"/>
      <c r="E164" s="10"/>
      <c r="F164" s="94"/>
      <c r="G164" s="94"/>
    </row>
    <row r="165" spans="2:8" x14ac:dyDescent="0.2">
      <c r="B165" s="10"/>
      <c r="C165" s="10"/>
      <c r="D165" s="10"/>
      <c r="E165" s="10"/>
      <c r="F165" s="82"/>
      <c r="G165" s="103"/>
    </row>
    <row r="166" spans="2:8" x14ac:dyDescent="0.2">
      <c r="B166" s="10"/>
      <c r="C166" s="10"/>
      <c r="D166" s="10"/>
      <c r="E166" s="10"/>
      <c r="F166" s="82"/>
      <c r="G166" s="103"/>
      <c r="H166" s="10"/>
    </row>
    <row r="167" spans="2:8" x14ac:dyDescent="0.2">
      <c r="B167" s="10"/>
      <c r="C167" s="10"/>
      <c r="D167" s="10"/>
      <c r="E167" s="10"/>
      <c r="F167" s="82"/>
      <c r="G167" s="103"/>
      <c r="H167" s="10"/>
    </row>
    <row r="168" spans="2:8" x14ac:dyDescent="0.2">
      <c r="B168" s="10"/>
      <c r="C168" s="10"/>
      <c r="D168" s="10"/>
      <c r="E168" s="10"/>
      <c r="F168" s="82"/>
      <c r="G168" s="103"/>
      <c r="H168" s="10"/>
    </row>
    <row r="169" spans="2:8" x14ac:dyDescent="0.2">
      <c r="B169" s="10"/>
      <c r="C169" s="10"/>
      <c r="D169" s="10"/>
      <c r="E169" s="10"/>
      <c r="F169" s="82"/>
      <c r="G169" s="103"/>
      <c r="H169" s="10"/>
    </row>
    <row r="170" spans="2:8" x14ac:dyDescent="0.2">
      <c r="B170" s="10"/>
      <c r="C170" s="10"/>
      <c r="D170" s="10"/>
      <c r="E170" s="10"/>
      <c r="F170" s="82"/>
      <c r="G170" s="103"/>
      <c r="H170" s="10"/>
    </row>
    <row r="171" spans="2:8" x14ac:dyDescent="0.2">
      <c r="B171" s="10"/>
      <c r="C171" s="10"/>
      <c r="D171" s="10"/>
      <c r="E171" s="10"/>
      <c r="F171" s="82"/>
      <c r="G171" s="103"/>
      <c r="H171" s="10"/>
    </row>
    <row r="172" spans="2:8" x14ac:dyDescent="0.2">
      <c r="B172" s="10"/>
      <c r="C172" s="10"/>
      <c r="D172" s="10"/>
      <c r="E172" s="10"/>
      <c r="F172" s="82"/>
      <c r="G172" s="103"/>
      <c r="H172" s="10"/>
    </row>
    <row r="173" spans="2:8" x14ac:dyDescent="0.2">
      <c r="B173" s="10"/>
      <c r="C173" s="10"/>
      <c r="D173" s="10"/>
      <c r="E173" s="10"/>
      <c r="F173" s="82"/>
      <c r="G173" s="103"/>
      <c r="H173" s="10"/>
    </row>
    <row r="174" spans="2:8" x14ac:dyDescent="0.2">
      <c r="B174" s="10"/>
      <c r="C174" s="10"/>
      <c r="D174" s="10"/>
      <c r="E174" s="10"/>
      <c r="F174" s="82"/>
      <c r="G174" s="103"/>
      <c r="H174" s="10"/>
    </row>
    <row r="175" spans="2:8" x14ac:dyDescent="0.2">
      <c r="B175" s="10"/>
      <c r="C175" s="10"/>
      <c r="D175" s="10"/>
      <c r="E175" s="10"/>
      <c r="F175" s="82"/>
      <c r="G175" s="103"/>
      <c r="H175" s="10"/>
    </row>
    <row r="176" spans="2:8" x14ac:dyDescent="0.2">
      <c r="B176" s="10"/>
      <c r="C176" s="10"/>
      <c r="D176" s="10"/>
      <c r="E176" s="10"/>
      <c r="F176" s="82"/>
      <c r="G176" s="103"/>
      <c r="H176" s="10"/>
    </row>
    <row r="177" spans="2:14" x14ac:dyDescent="0.2">
      <c r="B177" s="10"/>
      <c r="C177" s="10"/>
      <c r="D177" s="10"/>
      <c r="E177" s="10"/>
      <c r="F177" s="82"/>
      <c r="G177" s="103"/>
      <c r="H177" s="10"/>
    </row>
    <row r="178" spans="2:14" x14ac:dyDescent="0.2">
      <c r="B178" s="10"/>
      <c r="C178" s="10"/>
      <c r="D178" s="10"/>
      <c r="E178" s="10"/>
      <c r="F178" s="82"/>
      <c r="G178" s="103"/>
      <c r="H178" s="10"/>
    </row>
    <row r="179" spans="2:14" x14ac:dyDescent="0.2">
      <c r="B179" s="10"/>
      <c r="C179" s="10"/>
      <c r="D179" s="10"/>
      <c r="E179" s="10"/>
      <c r="F179" s="82"/>
      <c r="G179" s="103"/>
      <c r="H179" s="10"/>
    </row>
    <row r="180" spans="2:14" x14ac:dyDescent="0.2">
      <c r="B180" s="10"/>
      <c r="C180" s="10"/>
      <c r="D180" s="10"/>
      <c r="E180" s="10"/>
      <c r="F180" s="82"/>
      <c r="G180" s="103"/>
      <c r="H180" s="10"/>
    </row>
    <row r="181" spans="2:14" x14ac:dyDescent="0.2">
      <c r="B181" s="10"/>
      <c r="C181" s="10"/>
      <c r="D181" s="10"/>
      <c r="E181" s="10"/>
      <c r="F181" s="82"/>
      <c r="G181" s="103"/>
      <c r="H181" s="10"/>
    </row>
    <row r="182" spans="2:14" x14ac:dyDescent="0.2">
      <c r="B182" s="10"/>
      <c r="C182" s="10"/>
      <c r="D182" s="10"/>
      <c r="E182" s="10"/>
      <c r="F182" s="82"/>
      <c r="G182" s="103"/>
      <c r="H182" s="10"/>
    </row>
    <row r="183" spans="2:14" x14ac:dyDescent="0.2">
      <c r="B183" s="10"/>
      <c r="C183" s="10"/>
      <c r="D183" s="10"/>
      <c r="E183" s="10"/>
      <c r="F183" s="82"/>
      <c r="G183" s="103"/>
      <c r="H183" s="10"/>
    </row>
    <row r="184" spans="2:14" x14ac:dyDescent="0.2">
      <c r="B184" s="10"/>
      <c r="C184" s="10"/>
      <c r="D184" s="10"/>
      <c r="E184" s="10"/>
      <c r="F184" s="82"/>
      <c r="G184" s="103"/>
      <c r="H184" s="10"/>
    </row>
    <row r="185" spans="2:14" x14ac:dyDescent="0.2">
      <c r="B185" s="10"/>
      <c r="C185" s="10"/>
      <c r="D185" s="10"/>
      <c r="E185" s="10"/>
      <c r="F185" s="82"/>
      <c r="G185" s="103"/>
      <c r="H185" s="10"/>
    </row>
    <row r="186" spans="2:14" x14ac:dyDescent="0.2">
      <c r="B186" s="10"/>
      <c r="C186" s="10"/>
      <c r="D186" s="10"/>
      <c r="E186" s="10"/>
      <c r="F186" s="82"/>
      <c r="G186" s="103"/>
      <c r="H186" s="10"/>
      <c r="M186" s="10"/>
      <c r="N186" s="10"/>
    </row>
    <row r="187" spans="2:14" x14ac:dyDescent="0.2">
      <c r="B187" s="10"/>
      <c r="C187" s="10"/>
      <c r="D187" s="10"/>
      <c r="E187" s="10"/>
      <c r="F187" s="82"/>
      <c r="G187" s="103"/>
      <c r="H187" s="10"/>
      <c r="M187" s="10"/>
      <c r="N187" s="10"/>
    </row>
    <row r="188" spans="2:14" x14ac:dyDescent="0.2">
      <c r="B188" s="10"/>
      <c r="C188" s="10"/>
      <c r="D188" s="10"/>
      <c r="E188" s="10"/>
      <c r="F188" s="82"/>
      <c r="G188" s="103"/>
      <c r="H188" s="10"/>
      <c r="K188" s="10"/>
      <c r="L188" s="10"/>
      <c r="M188" s="10"/>
      <c r="N188" s="10"/>
    </row>
    <row r="189" spans="2:14" x14ac:dyDescent="0.2">
      <c r="B189" s="10"/>
      <c r="C189" s="10"/>
      <c r="D189" s="10"/>
      <c r="E189" s="10"/>
      <c r="F189" s="82"/>
      <c r="G189" s="103"/>
      <c r="H189" s="10"/>
      <c r="K189" s="10"/>
      <c r="L189" s="10"/>
      <c r="M189" s="10"/>
      <c r="N189" s="10"/>
    </row>
    <row r="190" spans="2:14" x14ac:dyDescent="0.2">
      <c r="B190" s="10"/>
      <c r="C190" s="10"/>
      <c r="D190" s="10"/>
      <c r="E190" s="10"/>
      <c r="F190" s="82"/>
      <c r="G190" s="103"/>
      <c r="H190" s="10"/>
      <c r="I190" s="10"/>
      <c r="J190" s="10"/>
      <c r="K190" s="10"/>
      <c r="L190" s="10"/>
      <c r="M190" s="10"/>
      <c r="N190" s="10"/>
    </row>
    <row r="191" spans="2:14" x14ac:dyDescent="0.2">
      <c r="B191" s="10"/>
      <c r="C191" s="10"/>
      <c r="D191" s="10"/>
      <c r="E191" s="10"/>
      <c r="F191" s="82"/>
      <c r="G191" s="103"/>
      <c r="H191" s="10"/>
      <c r="I191" s="10"/>
      <c r="J191" s="10"/>
      <c r="K191" s="10"/>
      <c r="L191" s="10"/>
      <c r="M191" s="10"/>
      <c r="N191" s="10"/>
    </row>
    <row r="192" spans="2:14" x14ac:dyDescent="0.2">
      <c r="B192" s="10"/>
      <c r="C192" s="10"/>
      <c r="D192" s="10"/>
      <c r="E192" s="10"/>
      <c r="F192" s="82"/>
      <c r="G192" s="103"/>
      <c r="H192" s="10"/>
      <c r="I192" s="10"/>
      <c r="J192" s="10"/>
      <c r="K192" s="10"/>
      <c r="L192" s="10"/>
      <c r="M192" s="10"/>
      <c r="N192" s="10"/>
    </row>
    <row r="193" spans="2:14" x14ac:dyDescent="0.2">
      <c r="B193" s="10"/>
      <c r="C193" s="10"/>
      <c r="D193" s="10"/>
      <c r="E193" s="10"/>
      <c r="F193" s="82"/>
      <c r="G193" s="103"/>
      <c r="H193" s="10"/>
      <c r="I193" s="10"/>
      <c r="J193" s="10"/>
      <c r="K193" s="10"/>
      <c r="L193" s="10"/>
      <c r="M193" s="10"/>
      <c r="N193" s="10"/>
    </row>
    <row r="194" spans="2:14" x14ac:dyDescent="0.2">
      <c r="B194" s="10"/>
      <c r="C194" s="10"/>
      <c r="D194" s="10"/>
      <c r="E194" s="10"/>
      <c r="F194" s="82"/>
      <c r="G194" s="103"/>
      <c r="H194" s="10"/>
      <c r="I194" s="10"/>
      <c r="J194" s="10"/>
      <c r="K194" s="10"/>
      <c r="L194" s="10"/>
      <c r="M194" s="10"/>
      <c r="N194" s="10"/>
    </row>
    <row r="195" spans="2:14" x14ac:dyDescent="0.2">
      <c r="B195" s="10"/>
      <c r="C195" s="10"/>
      <c r="D195" s="10"/>
      <c r="E195" s="10"/>
      <c r="F195" s="82"/>
      <c r="G195" s="103"/>
      <c r="H195" s="10"/>
      <c r="I195" s="10"/>
      <c r="J195" s="10"/>
      <c r="K195" s="10"/>
      <c r="L195" s="10"/>
      <c r="M195" s="10"/>
      <c r="N195" s="10"/>
    </row>
    <row r="196" spans="2:14" x14ac:dyDescent="0.2">
      <c r="B196" s="10"/>
      <c r="C196" s="10"/>
      <c r="D196" s="10"/>
      <c r="E196" s="10"/>
      <c r="F196" s="82"/>
      <c r="G196" s="103"/>
      <c r="H196" s="10"/>
      <c r="I196" s="10"/>
      <c r="J196" s="10"/>
      <c r="K196" s="10"/>
      <c r="L196" s="10"/>
      <c r="M196" s="10"/>
      <c r="N196" s="10"/>
    </row>
    <row r="197" spans="2:14" x14ac:dyDescent="0.2">
      <c r="B197" s="10"/>
      <c r="C197" s="10"/>
      <c r="D197" s="10"/>
      <c r="E197" s="10"/>
      <c r="F197" s="82"/>
      <c r="G197" s="103"/>
      <c r="H197" s="10"/>
      <c r="I197" s="10"/>
      <c r="J197" s="10"/>
      <c r="K197" s="10"/>
      <c r="L197" s="10"/>
      <c r="M197" s="10"/>
      <c r="N197" s="10"/>
    </row>
    <row r="198" spans="2:14" x14ac:dyDescent="0.2">
      <c r="B198" s="10"/>
      <c r="C198" s="10"/>
      <c r="D198" s="10"/>
      <c r="E198" s="10"/>
      <c r="F198" s="82"/>
      <c r="G198" s="103"/>
      <c r="H198" s="10"/>
      <c r="I198" s="10"/>
      <c r="J198" s="10"/>
      <c r="K198" s="10"/>
      <c r="L198" s="10"/>
      <c r="M198" s="10"/>
      <c r="N198" s="10"/>
    </row>
    <row r="199" spans="2:14" x14ac:dyDescent="0.2">
      <c r="B199" s="10"/>
      <c r="C199" s="10"/>
      <c r="D199" s="10"/>
      <c r="E199" s="10"/>
      <c r="F199" s="82"/>
      <c r="G199" s="103"/>
      <c r="H199" s="10"/>
      <c r="I199" s="10"/>
      <c r="J199" s="10"/>
      <c r="K199" s="10"/>
      <c r="L199" s="10"/>
      <c r="M199" s="10"/>
      <c r="N199" s="10"/>
    </row>
    <row r="200" spans="2:14" x14ac:dyDescent="0.2">
      <c r="B200" s="10"/>
      <c r="C200" s="10"/>
      <c r="D200" s="10"/>
      <c r="E200" s="10"/>
      <c r="F200" s="82"/>
      <c r="G200" s="103"/>
      <c r="H200" s="10"/>
      <c r="I200" s="10"/>
      <c r="J200" s="10"/>
      <c r="K200" s="10"/>
      <c r="L200" s="10"/>
      <c r="M200" s="10"/>
      <c r="N200" s="10"/>
    </row>
    <row r="201" spans="2:14" x14ac:dyDescent="0.2">
      <c r="B201" s="10"/>
      <c r="C201" s="10"/>
      <c r="D201" s="10"/>
      <c r="E201" s="10"/>
      <c r="F201" s="82"/>
      <c r="G201" s="103"/>
      <c r="H201" s="10"/>
      <c r="I201" s="10"/>
      <c r="J201" s="10"/>
      <c r="K201" s="10"/>
      <c r="L201" s="10"/>
      <c r="M201" s="10"/>
      <c r="N201" s="10"/>
    </row>
    <row r="202" spans="2:14" x14ac:dyDescent="0.2">
      <c r="B202" s="10"/>
      <c r="C202" s="10"/>
      <c r="D202" s="10"/>
      <c r="E202" s="10"/>
      <c r="F202" s="10"/>
      <c r="G202" s="103"/>
      <c r="H202" s="10"/>
      <c r="I202" s="10"/>
      <c r="J202" s="10"/>
      <c r="K202" s="10"/>
      <c r="L202" s="10"/>
      <c r="M202" s="10"/>
      <c r="N202" s="10"/>
    </row>
    <row r="203" spans="2:14" x14ac:dyDescent="0.2">
      <c r="B203" s="10"/>
      <c r="C203" s="10"/>
      <c r="D203" s="10"/>
      <c r="E203" s="10"/>
      <c r="F203" s="10"/>
      <c r="G203" s="103"/>
      <c r="H203" s="10"/>
      <c r="I203" s="10"/>
      <c r="J203" s="10"/>
      <c r="K203" s="10"/>
      <c r="L203" s="10"/>
      <c r="M203" s="10"/>
      <c r="N203" s="10"/>
    </row>
    <row r="204" spans="2:14" x14ac:dyDescent="0.2">
      <c r="B204" s="10"/>
      <c r="C204" s="10"/>
      <c r="D204" s="10"/>
      <c r="E204" s="10"/>
      <c r="F204" s="10"/>
      <c r="G204" s="103"/>
      <c r="H204" s="10"/>
      <c r="I204" s="10"/>
      <c r="J204" s="10"/>
      <c r="K204" s="10"/>
      <c r="L204" s="10"/>
      <c r="M204" s="10"/>
      <c r="N204" s="10"/>
    </row>
    <row r="205" spans="2:14" x14ac:dyDescent="0.2">
      <c r="B205" s="10"/>
      <c r="C205" s="10"/>
      <c r="D205" s="10"/>
      <c r="E205" s="10"/>
      <c r="F205" s="10"/>
      <c r="G205" s="103"/>
      <c r="H205" s="10"/>
      <c r="I205" s="10"/>
      <c r="J205" s="10"/>
      <c r="K205" s="10"/>
      <c r="L205" s="10"/>
      <c r="M205" s="10"/>
      <c r="N205" s="10"/>
    </row>
    <row r="206" spans="2:14" x14ac:dyDescent="0.2">
      <c r="B206" s="10"/>
      <c r="C206" s="10"/>
      <c r="D206" s="10"/>
      <c r="E206" s="10"/>
      <c r="F206" s="10"/>
      <c r="G206" s="103"/>
      <c r="H206" s="10"/>
      <c r="I206" s="10"/>
      <c r="J206" s="10"/>
      <c r="K206" s="10"/>
      <c r="L206" s="10"/>
      <c r="M206" s="10"/>
      <c r="N206" s="10"/>
    </row>
    <row r="207" spans="2:14" x14ac:dyDescent="0.2">
      <c r="B207" s="10"/>
      <c r="C207" s="10"/>
      <c r="D207" s="10"/>
      <c r="E207" s="10"/>
      <c r="F207" s="10"/>
      <c r="G207" s="103"/>
      <c r="H207" s="10"/>
      <c r="I207" s="10"/>
      <c r="J207" s="10"/>
      <c r="K207" s="10"/>
      <c r="L207" s="10"/>
      <c r="M207" s="10"/>
      <c r="N207" s="10"/>
    </row>
    <row r="208" spans="2:14" x14ac:dyDescent="0.2">
      <c r="B208" s="10"/>
      <c r="C208" s="10"/>
      <c r="D208" s="10"/>
      <c r="E208" s="10"/>
      <c r="F208" s="10"/>
      <c r="G208" s="103"/>
      <c r="H208" s="10"/>
      <c r="I208" s="10"/>
      <c r="J208" s="10"/>
      <c r="K208" s="10"/>
      <c r="L208" s="10"/>
      <c r="M208" s="10"/>
      <c r="N208" s="10"/>
    </row>
    <row r="209" spans="2:15" x14ac:dyDescent="0.2">
      <c r="B209" s="10"/>
      <c r="C209" s="10"/>
      <c r="D209" s="10"/>
      <c r="E209" s="10"/>
      <c r="F209" s="10"/>
      <c r="G209" s="103"/>
      <c r="H209" s="10"/>
      <c r="I209" s="10"/>
      <c r="J209" s="10"/>
      <c r="K209" s="10"/>
      <c r="L209" s="10"/>
      <c r="M209" s="10"/>
      <c r="N209" s="10"/>
    </row>
    <row r="210" spans="2:15" x14ac:dyDescent="0.2">
      <c r="B210" s="10"/>
      <c r="C210" s="10"/>
      <c r="D210" s="10"/>
      <c r="E210" s="10"/>
      <c r="F210" s="10"/>
      <c r="G210" s="103"/>
      <c r="H210" s="10"/>
      <c r="I210" s="10"/>
      <c r="J210" s="10"/>
      <c r="K210" s="10"/>
      <c r="L210" s="10"/>
      <c r="M210" s="10"/>
      <c r="N210" s="10"/>
    </row>
    <row r="211" spans="2:15" x14ac:dyDescent="0.2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</row>
    <row r="212" spans="2:15" x14ac:dyDescent="0.2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</row>
    <row r="213" spans="2:15" x14ac:dyDescent="0.2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</row>
    <row r="214" spans="2:15" x14ac:dyDescent="0.2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</row>
    <row r="215" spans="2:15" x14ac:dyDescent="0.2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</row>
    <row r="216" spans="2:15" x14ac:dyDescent="0.2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</row>
    <row r="217" spans="2:15" x14ac:dyDescent="0.2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</row>
    <row r="218" spans="2:15" x14ac:dyDescent="0.2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</row>
    <row r="219" spans="2:15" x14ac:dyDescent="0.2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</row>
    <row r="220" spans="2:15" x14ac:dyDescent="0.2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2:15" x14ac:dyDescent="0.2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2:15" x14ac:dyDescent="0.2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2:15" x14ac:dyDescent="0.2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2:15" x14ac:dyDescent="0.2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2:15" x14ac:dyDescent="0.2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2:15" x14ac:dyDescent="0.2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2:15" x14ac:dyDescent="0.2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2:15" x14ac:dyDescent="0.2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2:15" x14ac:dyDescent="0.2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2:15" x14ac:dyDescent="0.2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2:15" x14ac:dyDescent="0.2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2:15" x14ac:dyDescent="0.2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2:15" x14ac:dyDescent="0.2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2:15" x14ac:dyDescent="0.2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2:15" x14ac:dyDescent="0.2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2:15" x14ac:dyDescent="0.2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</row>
    <row r="237" spans="2:15" x14ac:dyDescent="0.2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</row>
    <row r="238" spans="2:15" x14ac:dyDescent="0.2"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</row>
    <row r="239" spans="2:15" x14ac:dyDescent="0.2"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</row>
    <row r="240" spans="2:15" x14ac:dyDescent="0.2">
      <c r="E240" s="10"/>
      <c r="F240" s="10"/>
      <c r="G240" s="10"/>
      <c r="H240" s="10"/>
      <c r="I240" s="10"/>
      <c r="J240" s="10"/>
      <c r="K240" s="10"/>
      <c r="L240" s="10"/>
      <c r="M240" s="10"/>
      <c r="N240" s="10"/>
    </row>
    <row r="241" spans="5:14" x14ac:dyDescent="0.2">
      <c r="E241" s="10"/>
      <c r="F241" s="10"/>
      <c r="G241" s="10"/>
      <c r="H241" s="10"/>
      <c r="I241" s="10"/>
      <c r="J241" s="10"/>
      <c r="K241" s="10"/>
      <c r="L241" s="10"/>
      <c r="M241" s="10"/>
      <c r="N241" s="10"/>
    </row>
    <row r="242" spans="5:14" x14ac:dyDescent="0.2">
      <c r="E242" s="10"/>
      <c r="F242" s="10"/>
      <c r="G242" s="10"/>
      <c r="H242" s="10"/>
      <c r="I242" s="10"/>
      <c r="J242" s="10"/>
      <c r="K242" s="10"/>
      <c r="L242" s="10"/>
      <c r="M242" s="10"/>
      <c r="N242" s="10"/>
    </row>
    <row r="243" spans="5:14" x14ac:dyDescent="0.2">
      <c r="E243" s="10"/>
      <c r="F243" s="10"/>
      <c r="G243" s="10"/>
      <c r="H243" s="10"/>
      <c r="I243" s="10"/>
      <c r="J243" s="10"/>
      <c r="K243" s="10"/>
      <c r="L243" s="10"/>
      <c r="M243" s="10"/>
      <c r="N243" s="10"/>
    </row>
    <row r="244" spans="5:14" x14ac:dyDescent="0.2">
      <c r="E244" s="10"/>
      <c r="F244" s="10"/>
      <c r="G244" s="10"/>
      <c r="H244" s="10"/>
      <c r="I244" s="10"/>
      <c r="J244" s="10"/>
      <c r="K244" s="10"/>
      <c r="L244" s="10"/>
      <c r="M244" s="10"/>
      <c r="N244" s="10"/>
    </row>
    <row r="245" spans="5:14" x14ac:dyDescent="0.2">
      <c r="E245" s="10"/>
      <c r="F245" s="10"/>
      <c r="G245" s="10"/>
      <c r="H245" s="10"/>
      <c r="I245" s="10"/>
      <c r="J245" s="10"/>
      <c r="K245" s="10"/>
      <c r="L245" s="10"/>
      <c r="M245" s="10"/>
      <c r="N245" s="10"/>
    </row>
    <row r="246" spans="5:14" x14ac:dyDescent="0.2">
      <c r="E246" s="10"/>
      <c r="F246" s="10"/>
      <c r="G246" s="10"/>
      <c r="H246" s="10"/>
      <c r="I246" s="10"/>
      <c r="J246" s="10"/>
      <c r="K246" s="10"/>
      <c r="L246" s="10"/>
      <c r="M246" s="10"/>
      <c r="N246" s="10"/>
    </row>
    <row r="247" spans="5:14" x14ac:dyDescent="0.2">
      <c r="E247" s="10"/>
      <c r="F247" s="10"/>
      <c r="G247" s="10"/>
      <c r="H247" s="10"/>
      <c r="I247" s="10"/>
      <c r="J247" s="10"/>
      <c r="K247" s="10"/>
      <c r="L247" s="10"/>
      <c r="M247" s="10"/>
      <c r="N247" s="10"/>
    </row>
    <row r="248" spans="5:14" x14ac:dyDescent="0.2">
      <c r="E248" s="10"/>
      <c r="F248" s="10"/>
      <c r="G248" s="10"/>
      <c r="H248" s="10"/>
      <c r="I248" s="10"/>
      <c r="J248" s="10"/>
      <c r="K248" s="10"/>
      <c r="L248" s="10"/>
      <c r="M248" s="10"/>
      <c r="N248" s="10"/>
    </row>
    <row r="249" spans="5:14" x14ac:dyDescent="0.2">
      <c r="E249" s="10"/>
      <c r="F249" s="10"/>
      <c r="G249" s="10"/>
      <c r="H249" s="10"/>
      <c r="I249" s="10"/>
      <c r="J249" s="10"/>
      <c r="K249" s="10"/>
      <c r="L249" s="10"/>
      <c r="M249" s="10"/>
      <c r="N249" s="10"/>
    </row>
    <row r="250" spans="5:14" x14ac:dyDescent="0.2">
      <c r="E250" s="10"/>
      <c r="F250" s="10"/>
      <c r="G250" s="10"/>
      <c r="H250" s="10"/>
      <c r="I250" s="10"/>
      <c r="J250" s="10"/>
      <c r="K250" s="10"/>
      <c r="L250" s="10"/>
      <c r="M250" s="10"/>
      <c r="N250" s="10"/>
    </row>
    <row r="251" spans="5:14" x14ac:dyDescent="0.2">
      <c r="E251" s="10"/>
      <c r="F251" s="10"/>
      <c r="G251" s="10"/>
      <c r="H251" s="10"/>
      <c r="I251" s="10"/>
      <c r="J251" s="10"/>
      <c r="K251" s="10"/>
      <c r="L251" s="10"/>
      <c r="M251" s="10"/>
      <c r="N251" s="10"/>
    </row>
    <row r="252" spans="5:14" x14ac:dyDescent="0.2">
      <c r="E252" s="10"/>
      <c r="F252" s="10"/>
      <c r="G252" s="10"/>
      <c r="H252" s="10"/>
      <c r="I252" s="10"/>
      <c r="J252" s="10"/>
      <c r="K252" s="10"/>
      <c r="L252" s="10"/>
      <c r="M252" s="10"/>
      <c r="N252" s="10"/>
    </row>
    <row r="253" spans="5:14" x14ac:dyDescent="0.2">
      <c r="E253" s="10"/>
      <c r="F253" s="10"/>
      <c r="G253" s="10"/>
      <c r="H253" s="10"/>
      <c r="I253" s="10"/>
      <c r="J253" s="10"/>
      <c r="K253" s="10"/>
      <c r="L253" s="10"/>
      <c r="M253" s="10"/>
      <c r="N253" s="10"/>
    </row>
    <row r="254" spans="5:14" x14ac:dyDescent="0.2">
      <c r="E254" s="10"/>
      <c r="F254" s="10"/>
      <c r="G254" s="10"/>
      <c r="H254" s="10"/>
      <c r="I254" s="10"/>
      <c r="J254" s="10"/>
      <c r="K254" s="10"/>
      <c r="L254" s="10"/>
      <c r="M254" s="10"/>
      <c r="N254" s="10"/>
    </row>
    <row r="255" spans="5:14" x14ac:dyDescent="0.2">
      <c r="E255" s="10"/>
      <c r="F255" s="10"/>
      <c r="G255" s="10"/>
      <c r="H255" s="10"/>
      <c r="I255" s="10"/>
      <c r="J255" s="10"/>
      <c r="K255" s="10"/>
      <c r="L255" s="10"/>
      <c r="M255" s="10"/>
      <c r="N255" s="10"/>
    </row>
    <row r="256" spans="5:14" x14ac:dyDescent="0.2">
      <c r="E256" s="10"/>
      <c r="F256" s="10"/>
      <c r="G256" s="10"/>
      <c r="H256" s="10"/>
      <c r="I256" s="10"/>
      <c r="J256" s="10"/>
      <c r="K256" s="10"/>
      <c r="L256" s="10"/>
      <c r="M256" s="10"/>
      <c r="N256" s="10"/>
    </row>
    <row r="257" spans="5:14" x14ac:dyDescent="0.2">
      <c r="E257" s="10"/>
      <c r="F257" s="10"/>
      <c r="G257" s="10"/>
      <c r="H257" s="10"/>
      <c r="I257" s="10"/>
      <c r="J257" s="10"/>
      <c r="K257" s="10"/>
      <c r="L257" s="10"/>
      <c r="M257" s="10"/>
      <c r="N257" s="10"/>
    </row>
    <row r="258" spans="5:14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</row>
    <row r="259" spans="5:14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</row>
    <row r="260" spans="5:14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</row>
    <row r="261" spans="5:14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</row>
    <row r="262" spans="5:14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</row>
    <row r="263" spans="5:14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</row>
    <row r="264" spans="5:14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</row>
    <row r="265" spans="5:14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</row>
    <row r="266" spans="5:14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</row>
    <row r="267" spans="5:14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</row>
    <row r="268" spans="5:14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</row>
    <row r="269" spans="5:14" x14ac:dyDescent="0.2">
      <c r="F269" s="10"/>
      <c r="G269" s="10"/>
      <c r="H269" s="10"/>
      <c r="I269" s="10"/>
      <c r="J269" s="10"/>
      <c r="K269" s="10"/>
      <c r="L269" s="10"/>
      <c r="M269" s="10"/>
      <c r="N269" s="10"/>
    </row>
    <row r="270" spans="5:14" x14ac:dyDescent="0.2">
      <c r="F270" s="10"/>
      <c r="G270" s="10"/>
      <c r="H270" s="10"/>
      <c r="I270" s="10"/>
      <c r="J270" s="10"/>
      <c r="K270" s="10"/>
      <c r="L270" s="10"/>
      <c r="M270" s="10"/>
      <c r="N270" s="10"/>
    </row>
    <row r="271" spans="5:14" x14ac:dyDescent="0.2">
      <c r="F271" s="10"/>
      <c r="G271" s="10"/>
      <c r="H271" s="10"/>
      <c r="I271" s="10"/>
      <c r="J271" s="10"/>
      <c r="K271" s="10"/>
      <c r="L271" s="10"/>
      <c r="M271" s="10"/>
      <c r="N271" s="10"/>
    </row>
    <row r="272" spans="5:14" x14ac:dyDescent="0.2">
      <c r="F272" s="10"/>
      <c r="G272" s="10"/>
      <c r="H272" s="10"/>
      <c r="I272" s="10"/>
      <c r="J272" s="10"/>
      <c r="K272" s="10"/>
      <c r="L272" s="10"/>
      <c r="M272" s="10"/>
      <c r="N272" s="10"/>
    </row>
    <row r="273" spans="6:21" x14ac:dyDescent="0.2"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6:21" x14ac:dyDescent="0.2"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6:21" x14ac:dyDescent="0.2"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6:21" x14ac:dyDescent="0.2"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6:21" x14ac:dyDescent="0.2"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6:21" x14ac:dyDescent="0.2"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6:21" x14ac:dyDescent="0.2"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6:21" x14ac:dyDescent="0.2"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6:21" x14ac:dyDescent="0.2"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6:21" x14ac:dyDescent="0.2"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6:21" x14ac:dyDescent="0.2"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6:21" x14ac:dyDescent="0.2"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6:21" x14ac:dyDescent="0.2"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6:21" x14ac:dyDescent="0.2"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6:21" x14ac:dyDescent="0.2"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6:21" x14ac:dyDescent="0.2"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6:21" x14ac:dyDescent="0.2"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6:21" x14ac:dyDescent="0.2"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6:21" x14ac:dyDescent="0.2"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6:21" x14ac:dyDescent="0.2"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6:21" x14ac:dyDescent="0.2"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6:21" x14ac:dyDescent="0.2"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6:21" x14ac:dyDescent="0.2"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6:21" x14ac:dyDescent="0.2"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6:21" x14ac:dyDescent="0.2"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6:21" x14ac:dyDescent="0.2"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6:21" x14ac:dyDescent="0.2"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6:21" x14ac:dyDescent="0.2"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6:21" x14ac:dyDescent="0.2"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6:21" x14ac:dyDescent="0.2"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6:21" x14ac:dyDescent="0.2"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6:21" x14ac:dyDescent="0.2"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9:21" x14ac:dyDescent="0.2"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9:21" x14ac:dyDescent="0.2"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9:21" x14ac:dyDescent="0.2"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9:21" x14ac:dyDescent="0.2"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9:21" x14ac:dyDescent="0.2"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9:21" x14ac:dyDescent="0.2"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9:21" x14ac:dyDescent="0.2"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9:21" x14ac:dyDescent="0.2"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9:21" x14ac:dyDescent="0.2"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9:21" x14ac:dyDescent="0.2"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9:21" x14ac:dyDescent="0.2"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9:21" x14ac:dyDescent="0.2"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9:21" x14ac:dyDescent="0.2"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9:21" x14ac:dyDescent="0.2"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9:21" x14ac:dyDescent="0.2"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9:21" x14ac:dyDescent="0.2"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9:21" x14ac:dyDescent="0.2"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9:21" x14ac:dyDescent="0.2"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9:21" x14ac:dyDescent="0.2"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9:21" x14ac:dyDescent="0.2"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9:21" x14ac:dyDescent="0.2"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9:21" x14ac:dyDescent="0.2"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9:21" x14ac:dyDescent="0.2"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9:21" x14ac:dyDescent="0.2"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9:21" x14ac:dyDescent="0.2"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9:21" x14ac:dyDescent="0.2">
      <c r="I330" s="10"/>
      <c r="J330" s="10"/>
      <c r="K330" s="10"/>
      <c r="L330" s="10"/>
      <c r="M330" s="10"/>
    </row>
    <row r="331" spans="9:21" x14ac:dyDescent="0.2">
      <c r="I331" s="10"/>
      <c r="J331" s="10"/>
      <c r="K331" s="10"/>
      <c r="L331" s="10"/>
      <c r="M331" s="10"/>
    </row>
    <row r="332" spans="9:21" x14ac:dyDescent="0.2">
      <c r="I332" s="10"/>
      <c r="J332" s="10"/>
      <c r="K332" s="10"/>
    </row>
    <row r="333" spans="9:21" x14ac:dyDescent="0.2">
      <c r="I333" s="10"/>
      <c r="J333" s="10"/>
      <c r="K333" s="10"/>
    </row>
  </sheetData>
  <mergeCells count="4">
    <mergeCell ref="C4:C5"/>
    <mergeCell ref="D4:D5"/>
    <mergeCell ref="E4:E5"/>
    <mergeCell ref="F4:F5"/>
  </mergeCell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W73"/>
  <sheetViews>
    <sheetView zoomScaleNormal="100" workbookViewId="0">
      <selection activeCell="D11" sqref="D11:D13"/>
    </sheetView>
  </sheetViews>
  <sheetFormatPr defaultColWidth="11.42578125" defaultRowHeight="12.75" x14ac:dyDescent="0.2"/>
  <cols>
    <col min="1" max="1" width="15.140625" style="2" bestFit="1" customWidth="1"/>
    <col min="2" max="2" width="10.85546875" style="2" customWidth="1"/>
    <col min="3" max="3" width="12.7109375" style="2" customWidth="1"/>
    <col min="4" max="4" width="12.42578125" style="2" customWidth="1"/>
    <col min="5" max="5" width="13.28515625" style="2" customWidth="1"/>
    <col min="6" max="6" width="12.42578125" style="2" customWidth="1"/>
    <col min="7" max="7" width="12.5703125" style="2" customWidth="1"/>
    <col min="8" max="8" width="14" style="2" customWidth="1"/>
    <col min="9" max="9" width="14" style="2" bestFit="1" customWidth="1"/>
    <col min="10" max="11" width="13.5703125" style="2" bestFit="1" customWidth="1"/>
    <col min="12" max="15" width="14" style="2" bestFit="1" customWidth="1"/>
    <col min="16" max="16" width="13.28515625" style="2" bestFit="1" customWidth="1"/>
    <col min="17" max="17" width="13.5703125" style="2" bestFit="1" customWidth="1"/>
    <col min="18" max="19" width="13.28515625" style="2" bestFit="1" customWidth="1"/>
    <col min="20" max="16384" width="11.42578125" style="2"/>
  </cols>
  <sheetData>
    <row r="1" spans="1:23" ht="23.25" x14ac:dyDescent="0.35">
      <c r="A1" s="83" t="s">
        <v>18</v>
      </c>
      <c r="B1" s="1" t="s">
        <v>7</v>
      </c>
      <c r="M1" s="3"/>
      <c r="N1" s="4"/>
      <c r="V1" s="4"/>
    </row>
    <row r="2" spans="1:23" ht="13.5" thickBot="1" x14ac:dyDescent="0.25">
      <c r="D2" s="2">
        <f>'Fernandez-Moya'!D8</f>
        <v>0.11853302311845752</v>
      </c>
      <c r="E2" s="2">
        <f>SUM(D3:D5)</f>
        <v>2.0212101251849162</v>
      </c>
      <c r="F2" s="2" t="s">
        <v>8</v>
      </c>
      <c r="M2" s="5"/>
      <c r="N2" s="4"/>
      <c r="Q2" s="6"/>
      <c r="R2" s="7"/>
      <c r="S2" s="6"/>
      <c r="T2" s="6"/>
      <c r="U2" s="7"/>
      <c r="V2" s="6"/>
    </row>
    <row r="3" spans="1:23" ht="13.5" thickBot="1" x14ac:dyDescent="0.25">
      <c r="B3" s="8" t="s">
        <v>4</v>
      </c>
      <c r="C3" s="9">
        <f>'Fernandez-Moya'!D11</f>
        <v>7</v>
      </c>
      <c r="D3" s="10">
        <f>$D$2*G43</f>
        <v>0.5343417004496458</v>
      </c>
      <c r="E3" s="10"/>
      <c r="F3" s="11">
        <f>SQRT(D3)</f>
        <v>0.73098679909396846</v>
      </c>
      <c r="M3" s="5"/>
      <c r="N3" s="4"/>
      <c r="Q3" s="6"/>
      <c r="R3" s="7"/>
      <c r="S3" s="6"/>
      <c r="T3" s="6"/>
      <c r="U3" s="7"/>
      <c r="V3" s="6"/>
    </row>
    <row r="4" spans="1:23" ht="13.5" thickBot="1" x14ac:dyDescent="0.25">
      <c r="B4" s="8" t="s">
        <v>6</v>
      </c>
      <c r="C4" s="9">
        <f>'Fernandez-Moya'!D12</f>
        <v>0.26864373313213086</v>
      </c>
      <c r="D4" s="10">
        <f>$D$2*H44</f>
        <v>9.5051644815110302E-4</v>
      </c>
      <c r="E4" s="10"/>
      <c r="F4" s="11">
        <f>SQRT(D4)</f>
        <v>3.0830446771837463E-2</v>
      </c>
      <c r="H4" s="12" t="s">
        <v>9</v>
      </c>
      <c r="I4" s="12">
        <v>10000</v>
      </c>
      <c r="M4" s="5"/>
      <c r="N4" s="4"/>
      <c r="Q4" s="6"/>
      <c r="R4" s="7"/>
      <c r="S4" s="6"/>
      <c r="T4" s="6"/>
      <c r="U4" s="7"/>
      <c r="V4" s="6"/>
    </row>
    <row r="5" spans="1:23" ht="13.5" thickBot="1" x14ac:dyDescent="0.25">
      <c r="B5" s="13" t="s">
        <v>5</v>
      </c>
      <c r="C5" s="9">
        <f>'Fernandez-Moya'!D13</f>
        <v>23.554996252826903</v>
      </c>
      <c r="D5" s="10">
        <f>$D$2*I45</f>
        <v>1.4859179082871192</v>
      </c>
      <c r="E5" s="10"/>
      <c r="F5" s="11">
        <f>SQRT(D5)</f>
        <v>1.2189823248460656</v>
      </c>
      <c r="M5" s="4"/>
      <c r="N5" s="4"/>
      <c r="Q5" s="6"/>
      <c r="R5" s="6"/>
      <c r="S5" s="6"/>
      <c r="T5" s="6"/>
      <c r="U5" s="6"/>
      <c r="V5" s="6"/>
    </row>
    <row r="6" spans="1:23" ht="13.5" thickBot="1" x14ac:dyDescent="0.25">
      <c r="B6" s="8"/>
      <c r="C6" s="14"/>
      <c r="D6" s="15"/>
      <c r="F6" s="16"/>
      <c r="I6" s="12" t="s">
        <v>10</v>
      </c>
      <c r="M6" s="5"/>
      <c r="N6" s="4"/>
      <c r="Q6" s="6"/>
      <c r="R6" s="6"/>
      <c r="S6" s="6"/>
      <c r="T6" s="6"/>
      <c r="U6" s="6"/>
      <c r="V6" s="6"/>
    </row>
    <row r="7" spans="1:23" ht="13.5" thickBot="1" x14ac:dyDescent="0.25">
      <c r="B7" s="8"/>
      <c r="C7" s="14"/>
      <c r="D7" s="15"/>
      <c r="F7" s="16"/>
      <c r="H7" s="8" t="s">
        <v>4</v>
      </c>
      <c r="I7" s="12">
        <f>C3/$I$4</f>
        <v>6.9999999999999999E-4</v>
      </c>
      <c r="M7" s="4"/>
      <c r="N7" s="4"/>
      <c r="Q7" s="17"/>
      <c r="R7" s="17"/>
      <c r="S7" s="17"/>
      <c r="T7" s="17"/>
      <c r="U7" s="17"/>
      <c r="W7" s="17"/>
    </row>
    <row r="8" spans="1:23" ht="13.5" thickBot="1" x14ac:dyDescent="0.25">
      <c r="B8" s="8"/>
      <c r="C8" s="14"/>
      <c r="D8" s="15"/>
      <c r="F8" s="16"/>
      <c r="H8" s="8" t="s">
        <v>6</v>
      </c>
      <c r="I8" s="12">
        <f>C4/$I$4</f>
        <v>2.6864373313213085E-5</v>
      </c>
      <c r="M8" s="5"/>
      <c r="N8" s="4"/>
      <c r="Q8" s="6"/>
      <c r="R8" s="6"/>
      <c r="S8" s="18"/>
      <c r="T8" s="6"/>
      <c r="U8" s="6"/>
      <c r="V8" s="18"/>
    </row>
    <row r="9" spans="1:23" ht="13.5" thickBot="1" x14ac:dyDescent="0.25">
      <c r="B9" s="8"/>
      <c r="C9" s="14"/>
      <c r="D9" s="15"/>
      <c r="F9" s="16"/>
      <c r="H9" s="13" t="s">
        <v>5</v>
      </c>
      <c r="I9" s="12">
        <f>C5/$I$4</f>
        <v>2.3554996252826903E-3</v>
      </c>
      <c r="M9" s="4"/>
      <c r="N9" s="4"/>
      <c r="Q9" s="6"/>
      <c r="R9" s="6"/>
      <c r="S9" s="19"/>
      <c r="T9" s="6"/>
      <c r="U9" s="6"/>
      <c r="V9" s="19"/>
    </row>
    <row r="10" spans="1:23" ht="13.5" thickBot="1" x14ac:dyDescent="0.25">
      <c r="B10" s="8"/>
      <c r="C10" s="14"/>
      <c r="D10" s="15"/>
      <c r="E10" s="20"/>
      <c r="F10" s="16"/>
      <c r="H10" s="21"/>
      <c r="I10" s="22"/>
      <c r="M10" s="5"/>
      <c r="N10" s="4"/>
      <c r="Q10" s="6"/>
      <c r="R10" s="7"/>
      <c r="S10" s="23"/>
      <c r="T10" s="24"/>
      <c r="U10" s="7"/>
      <c r="V10" s="23"/>
    </row>
    <row r="11" spans="1:23" x14ac:dyDescent="0.2">
      <c r="H11" s="25"/>
      <c r="I11" s="26"/>
      <c r="M11" s="4"/>
      <c r="N11" s="4"/>
      <c r="Q11" s="6"/>
      <c r="R11" s="7"/>
      <c r="S11" s="27"/>
      <c r="T11" s="6"/>
      <c r="U11" s="6"/>
      <c r="V11" s="27"/>
    </row>
    <row r="12" spans="1:23" x14ac:dyDescent="0.2">
      <c r="H12" s="25"/>
      <c r="I12" s="26"/>
      <c r="M12" s="28"/>
      <c r="N12" s="4"/>
      <c r="Q12" s="6"/>
      <c r="R12" s="6"/>
      <c r="S12" s="19"/>
      <c r="T12" s="6"/>
      <c r="U12" s="6"/>
      <c r="V12" s="19"/>
    </row>
    <row r="13" spans="1:23" x14ac:dyDescent="0.2">
      <c r="H13" s="25"/>
      <c r="I13" s="26"/>
      <c r="M13" s="4"/>
      <c r="N13" s="4"/>
      <c r="Q13" s="6"/>
      <c r="R13" s="6"/>
      <c r="S13" s="23"/>
      <c r="T13" s="6"/>
      <c r="U13" s="6"/>
      <c r="V13" s="23"/>
    </row>
    <row r="14" spans="1:23" x14ac:dyDescent="0.2">
      <c r="H14" s="25"/>
      <c r="I14" s="26"/>
      <c r="M14" s="4"/>
      <c r="N14" s="4"/>
      <c r="Q14" s="6"/>
      <c r="R14" s="6"/>
      <c r="S14" s="23"/>
      <c r="T14" s="6"/>
      <c r="U14" s="6"/>
      <c r="V14" s="23"/>
    </row>
    <row r="15" spans="1:23" x14ac:dyDescent="0.2">
      <c r="M15" s="4"/>
      <c r="N15" s="4"/>
      <c r="Q15" s="6"/>
      <c r="R15" s="6"/>
      <c r="S15" s="23"/>
      <c r="T15" s="6"/>
      <c r="U15" s="6"/>
      <c r="V15" s="23"/>
    </row>
    <row r="16" spans="1:23" x14ac:dyDescent="0.2">
      <c r="M16" s="4"/>
      <c r="N16" s="4"/>
      <c r="Q16" s="6"/>
      <c r="R16" s="6"/>
      <c r="S16" s="23"/>
      <c r="T16" s="6"/>
      <c r="U16" s="6"/>
      <c r="V16" s="23"/>
    </row>
    <row r="17" spans="1:49" x14ac:dyDescent="0.2">
      <c r="M17" s="4"/>
      <c r="N17" s="4"/>
      <c r="Q17" s="6"/>
      <c r="R17" s="6"/>
      <c r="S17" s="23"/>
      <c r="T17" s="6"/>
      <c r="U17" s="6"/>
      <c r="V17" s="23"/>
    </row>
    <row r="18" spans="1:49" x14ac:dyDescent="0.2">
      <c r="M18" s="4"/>
      <c r="N18" s="4"/>
      <c r="Q18" s="6"/>
      <c r="R18" s="7"/>
      <c r="S18" s="19"/>
      <c r="T18" s="24"/>
      <c r="U18" s="7"/>
      <c r="V18" s="19"/>
    </row>
    <row r="19" spans="1:49" x14ac:dyDescent="0.2">
      <c r="I19" s="18"/>
      <c r="J19" s="20"/>
      <c r="M19" s="4"/>
      <c r="N19" s="4"/>
      <c r="Q19" s="6"/>
      <c r="R19" s="7"/>
      <c r="S19" s="19"/>
      <c r="T19" s="24"/>
      <c r="U19" s="7"/>
      <c r="V19" s="19"/>
    </row>
    <row r="20" spans="1:49" ht="13.5" thickBot="1" x14ac:dyDescent="0.25">
      <c r="H20" s="29"/>
      <c r="N20" s="30"/>
    </row>
    <row r="21" spans="1:49" ht="27" customHeight="1" thickBot="1" x14ac:dyDescent="0.25">
      <c r="A21" s="92" t="s">
        <v>3</v>
      </c>
      <c r="B21" s="99" t="s">
        <v>11</v>
      </c>
      <c r="C21" s="99" t="s">
        <v>12</v>
      </c>
      <c r="D21" s="99" t="s">
        <v>13</v>
      </c>
      <c r="E21" s="31" t="s">
        <v>14</v>
      </c>
      <c r="F21" s="178" t="s">
        <v>15</v>
      </c>
      <c r="G21" s="179"/>
      <c r="H21" s="32"/>
      <c r="I21" s="32"/>
      <c r="L21" s="33"/>
      <c r="M21" s="33"/>
      <c r="N21" s="33"/>
      <c r="O21" s="33"/>
      <c r="P21" s="33"/>
      <c r="Q21" s="33"/>
    </row>
    <row r="22" spans="1:49" ht="13.5" thickBot="1" x14ac:dyDescent="0.25">
      <c r="A22" s="34">
        <f>'Fernandez-Moya'!B18</f>
        <v>0</v>
      </c>
      <c r="B22" s="4">
        <f>Q_LA($C$3,$C$4,$C$5,A22,$I$7)</f>
        <v>1.3139155737014692E-12</v>
      </c>
      <c r="C22" s="35">
        <f>Q_Lumax($C$3,$C$4,$C$5,A22,$I$8)</f>
        <v>-3.3550241887311628E-11</v>
      </c>
      <c r="D22" s="36">
        <f>Q_Llameda($C$3,$C$4,$C$5,A22,$I$9)</f>
        <v>-3.8263908562478721E-13</v>
      </c>
      <c r="E22" s="98">
        <v>1</v>
      </c>
      <c r="G22" s="38">
        <v>1</v>
      </c>
      <c r="H22" s="39">
        <v>2</v>
      </c>
      <c r="I22" s="39">
        <v>3</v>
      </c>
      <c r="J22" s="39">
        <v>4</v>
      </c>
      <c r="K22" s="39">
        <v>5</v>
      </c>
      <c r="L22" s="39">
        <v>6</v>
      </c>
      <c r="M22" s="39">
        <v>7</v>
      </c>
      <c r="N22" s="39">
        <v>8</v>
      </c>
      <c r="O22" s="39">
        <v>9</v>
      </c>
      <c r="P22" s="39">
        <v>10</v>
      </c>
      <c r="Q22" s="39">
        <v>11</v>
      </c>
      <c r="R22" s="39">
        <v>12</v>
      </c>
      <c r="S22" s="39">
        <v>13</v>
      </c>
      <c r="T22" s="39">
        <v>14</v>
      </c>
      <c r="U22" s="39">
        <v>15</v>
      </c>
      <c r="V22" s="39">
        <v>16</v>
      </c>
      <c r="W22" s="39">
        <v>17</v>
      </c>
      <c r="X22" s="39">
        <v>18</v>
      </c>
      <c r="Y22" s="39">
        <v>19</v>
      </c>
      <c r="Z22" s="39">
        <v>20</v>
      </c>
      <c r="AA22" s="39">
        <v>21</v>
      </c>
      <c r="AB22" s="39">
        <v>22</v>
      </c>
      <c r="AC22" s="39">
        <v>23</v>
      </c>
      <c r="AD22" s="39">
        <v>24</v>
      </c>
      <c r="AE22" s="39">
        <v>25</v>
      </c>
      <c r="AF22" s="39">
        <v>26</v>
      </c>
      <c r="AG22" s="39">
        <v>27</v>
      </c>
      <c r="AH22" s="39">
        <v>28</v>
      </c>
      <c r="AI22" s="39">
        <v>29</v>
      </c>
      <c r="AJ22" s="39">
        <v>30</v>
      </c>
      <c r="AK22" s="39">
        <v>31</v>
      </c>
      <c r="AL22" s="39">
        <v>32</v>
      </c>
      <c r="AM22" s="39">
        <v>33</v>
      </c>
      <c r="AN22" s="39">
        <v>34</v>
      </c>
      <c r="AO22" s="39">
        <v>35</v>
      </c>
      <c r="AP22" s="39">
        <v>36</v>
      </c>
      <c r="AQ22" s="39">
        <v>37</v>
      </c>
      <c r="AR22" s="39">
        <v>38</v>
      </c>
      <c r="AS22" s="39">
        <v>39</v>
      </c>
      <c r="AT22" s="39">
        <v>40</v>
      </c>
      <c r="AU22" s="39">
        <v>41</v>
      </c>
      <c r="AV22" s="39">
        <v>42</v>
      </c>
      <c r="AW22" s="39">
        <v>43</v>
      </c>
    </row>
    <row r="23" spans="1:49" ht="13.5" thickBot="1" x14ac:dyDescent="0.25">
      <c r="A23" s="34">
        <f>'Fernandez-Moya'!B19</f>
        <v>13.183</v>
      </c>
      <c r="B23" s="4">
        <f t="shared" ref="B23:B33" si="0">Q_LA($C$3,$C$4,$C$5,A23,$I$7)</f>
        <v>3.181478164275206E-3</v>
      </c>
      <c r="C23" s="35">
        <f t="shared" ref="C23:C33" si="1">Q_Lumax($C$3,$C$4,$C$5,A23,$I$8)</f>
        <v>-7.4280380661150544E-2</v>
      </c>
      <c r="D23" s="36">
        <f t="shared" ref="D23:D33" si="2">Q_Llameda($C$3,$C$4,$C$5,A23,$I$9)</f>
        <v>-1.9229980179518958E-3</v>
      </c>
      <c r="E23" s="37">
        <v>2</v>
      </c>
      <c r="F23" s="40">
        <v>1</v>
      </c>
      <c r="G23" s="42">
        <v>1.3139155737014692E-12</v>
      </c>
      <c r="H23" s="42">
        <v>3.181478164275206E-3</v>
      </c>
      <c r="I23" s="42">
        <v>1.3961298549628307E-2</v>
      </c>
      <c r="J23" s="42">
        <v>2.9768776448424857E-2</v>
      </c>
      <c r="K23" s="42">
        <v>4.6449153570580846E-2</v>
      </c>
      <c r="L23" s="42">
        <v>6.0788379635523526E-2</v>
      </c>
      <c r="M23" s="42">
        <v>6.5924172393261316E-2</v>
      </c>
      <c r="N23" s="42">
        <v>4.2717028492551226E-2</v>
      </c>
      <c r="O23" s="42">
        <v>3.0200536547754709E-4</v>
      </c>
      <c r="P23" s="42">
        <v>0.14302492596865843</v>
      </c>
      <c r="Q23" s="42">
        <v>0.23264588863116031</v>
      </c>
      <c r="R23" s="42">
        <v>0.40081157340919404</v>
      </c>
      <c r="S23" s="42">
        <v>0.54920936759168215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1"/>
      <c r="AT23" s="41"/>
      <c r="AU23" s="41"/>
      <c r="AV23" s="41"/>
      <c r="AW23" s="41"/>
    </row>
    <row r="24" spans="1:49" ht="13.5" thickBot="1" x14ac:dyDescent="0.25">
      <c r="A24" s="34">
        <f>'Fernandez-Moya'!B20</f>
        <v>15.917</v>
      </c>
      <c r="B24" s="4">
        <f t="shared" si="0"/>
        <v>1.3961298549628307E-2</v>
      </c>
      <c r="C24" s="35">
        <f t="shared" si="1"/>
        <v>-0.30100908322796249</v>
      </c>
      <c r="D24" s="36">
        <f t="shared" si="2"/>
        <v>-1.0582675902735516E-2</v>
      </c>
      <c r="E24" s="37">
        <v>3</v>
      </c>
      <c r="F24" s="43">
        <v>2</v>
      </c>
      <c r="G24" s="42">
        <v>-3.3550241887311628E-11</v>
      </c>
      <c r="H24" s="42">
        <v>-7.4280380661150544E-2</v>
      </c>
      <c r="I24" s="42">
        <v>-0.30100908322796249</v>
      </c>
      <c r="J24" s="42">
        <v>-0.57208898012377551</v>
      </c>
      <c r="K24" s="42">
        <v>-0.73676991412206749</v>
      </c>
      <c r="L24" s="42">
        <v>-0.60491941344894151</v>
      </c>
      <c r="M24" s="42">
        <v>9.8409275550856323E-2</v>
      </c>
      <c r="N24" s="42">
        <v>3.1890416536029349</v>
      </c>
      <c r="O24" s="42">
        <v>9.1872804259451062</v>
      </c>
      <c r="P24" s="42">
        <v>13.424958226535546</v>
      </c>
      <c r="Q24" s="42">
        <v>12.922598241265645</v>
      </c>
      <c r="R24" s="42">
        <v>11.003761620222113</v>
      </c>
      <c r="S24" s="42">
        <v>8.7441649553111969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</row>
    <row r="25" spans="1:49" ht="13.5" thickBot="1" x14ac:dyDescent="0.25">
      <c r="A25" s="34">
        <f>'Fernandez-Moya'!B21</f>
        <v>18</v>
      </c>
      <c r="B25" s="4">
        <f t="shared" si="0"/>
        <v>2.9768776448424857E-2</v>
      </c>
      <c r="C25" s="35">
        <f t="shared" si="1"/>
        <v>-0.57208898012377551</v>
      </c>
      <c r="D25" s="36">
        <f t="shared" si="2"/>
        <v>-2.7656640924263488E-2</v>
      </c>
      <c r="E25" s="37">
        <v>4</v>
      </c>
      <c r="F25" s="43">
        <v>3</v>
      </c>
      <c r="G25" s="42">
        <v>-3.8263908562478721E-13</v>
      </c>
      <c r="H25" s="42">
        <v>-1.9229980179518958E-3</v>
      </c>
      <c r="I25" s="42">
        <v>-1.0582675902735516E-2</v>
      </c>
      <c r="J25" s="42">
        <v>-2.7656640924263488E-2</v>
      </c>
      <c r="K25" s="42">
        <v>-5.3161535517955237E-2</v>
      </c>
      <c r="L25" s="42">
        <v>-9.0008912098921562E-2</v>
      </c>
      <c r="M25" s="42">
        <v>-0.13554399530471251</v>
      </c>
      <c r="N25" s="42">
        <v>-0.21713986687987302</v>
      </c>
      <c r="O25" s="42">
        <v>-0.26841617629055342</v>
      </c>
      <c r="P25" s="42">
        <v>-0.20100219868201313</v>
      </c>
      <c r="Q25" s="42">
        <v>-0.16845143842843668</v>
      </c>
      <c r="R25" s="42">
        <v>-0.11696723217371176</v>
      </c>
      <c r="S25" s="42">
        <v>-7.9037873810416048E-2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97"/>
      <c r="AT25" s="97"/>
      <c r="AU25" s="97"/>
      <c r="AV25" s="97"/>
      <c r="AW25" s="97"/>
    </row>
    <row r="26" spans="1:49" ht="13.5" thickBot="1" x14ac:dyDescent="0.25">
      <c r="A26" s="34">
        <f>'Fernandez-Moya'!B22</f>
        <v>19.832999999999998</v>
      </c>
      <c r="B26" s="4">
        <f t="shared" si="0"/>
        <v>4.6449153570580846E-2</v>
      </c>
      <c r="C26" s="35">
        <f t="shared" si="1"/>
        <v>-0.73676991412206749</v>
      </c>
      <c r="D26" s="36">
        <f t="shared" si="2"/>
        <v>-5.3161535517955237E-2</v>
      </c>
      <c r="E26" s="37">
        <v>5</v>
      </c>
      <c r="F26" s="44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  <row r="27" spans="1:49" ht="13.5" thickBot="1" x14ac:dyDescent="0.25">
      <c r="A27" s="34">
        <f>'Fernandez-Moya'!B23</f>
        <v>21.75</v>
      </c>
      <c r="B27" s="4">
        <f t="shared" si="0"/>
        <v>6.0788379635523526E-2</v>
      </c>
      <c r="C27" s="35">
        <f t="shared" si="1"/>
        <v>-0.60491941344894151</v>
      </c>
      <c r="D27" s="36">
        <f t="shared" si="2"/>
        <v>-9.0008912098921562E-2</v>
      </c>
      <c r="E27" s="37">
        <v>6</v>
      </c>
      <c r="F27" s="46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</row>
    <row r="28" spans="1:49" ht="13.5" thickBot="1" x14ac:dyDescent="0.25">
      <c r="A28" s="34">
        <f>'Fernandez-Moya'!B24</f>
        <v>23.75</v>
      </c>
      <c r="B28" s="4">
        <f t="shared" si="0"/>
        <v>6.5924172393261316E-2</v>
      </c>
      <c r="C28" s="35">
        <f t="shared" si="1"/>
        <v>9.8409275550856323E-2</v>
      </c>
      <c r="D28" s="36">
        <f t="shared" si="2"/>
        <v>-0.13554399530471251</v>
      </c>
      <c r="E28" s="37">
        <v>7</v>
      </c>
      <c r="F28" s="46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</row>
    <row r="29" spans="1:49" ht="13.5" thickBot="1" x14ac:dyDescent="0.25">
      <c r="A29" s="34">
        <f>'Fernandez-Moya'!B25</f>
        <v>27.5</v>
      </c>
      <c r="B29" s="4">
        <f t="shared" si="0"/>
        <v>4.2717028492551226E-2</v>
      </c>
      <c r="C29" s="35">
        <f t="shared" si="1"/>
        <v>3.1890416536029349</v>
      </c>
      <c r="D29" s="36">
        <f t="shared" si="2"/>
        <v>-0.21713986687987302</v>
      </c>
      <c r="E29" s="37">
        <v>8</v>
      </c>
    </row>
    <row r="30" spans="1:49" ht="13.5" thickBot="1" x14ac:dyDescent="0.25">
      <c r="A30" s="34">
        <f>'Fernandez-Moya'!B26</f>
        <v>32.75</v>
      </c>
      <c r="B30" s="4">
        <f t="shared" si="0"/>
        <v>3.0200536547754709E-4</v>
      </c>
      <c r="C30" s="35">
        <f t="shared" si="1"/>
        <v>9.1872804259451062</v>
      </c>
      <c r="D30" s="36">
        <f t="shared" si="2"/>
        <v>-0.26841617629055342</v>
      </c>
      <c r="E30" s="37">
        <v>9</v>
      </c>
      <c r="J30" s="48"/>
      <c r="K30" s="49"/>
      <c r="L30" s="49"/>
    </row>
    <row r="31" spans="1:49" ht="13.5" thickBot="1" x14ac:dyDescent="0.25">
      <c r="A31" s="34">
        <f>'Fernandez-Moya'!B27</f>
        <v>41.5</v>
      </c>
      <c r="B31" s="4">
        <f t="shared" si="0"/>
        <v>0.14302492596865843</v>
      </c>
      <c r="C31" s="35">
        <f t="shared" si="1"/>
        <v>13.424958226535546</v>
      </c>
      <c r="D31" s="36">
        <f t="shared" si="2"/>
        <v>-0.20100219868201313</v>
      </c>
      <c r="E31" s="37">
        <v>10</v>
      </c>
      <c r="F31" s="180" t="s">
        <v>16</v>
      </c>
      <c r="G31" s="181"/>
      <c r="J31" s="48"/>
      <c r="K31" s="49"/>
      <c r="L31" s="49"/>
    </row>
    <row r="32" spans="1:49" ht="13.5" thickBot="1" x14ac:dyDescent="0.25">
      <c r="A32" s="34">
        <f>'Fernandez-Moya'!B28</f>
        <v>44.167000000000002</v>
      </c>
      <c r="B32" s="4">
        <f t="shared" si="0"/>
        <v>0.23264588863116031</v>
      </c>
      <c r="C32" s="35">
        <f t="shared" si="1"/>
        <v>12.922598241265645</v>
      </c>
      <c r="D32" s="36">
        <f t="shared" si="2"/>
        <v>-0.16845143842843668</v>
      </c>
      <c r="E32" s="37">
        <v>11</v>
      </c>
      <c r="F32" s="50"/>
      <c r="G32" s="169">
        <v>1</v>
      </c>
      <c r="H32" s="123">
        <v>2</v>
      </c>
      <c r="I32" s="51">
        <v>3</v>
      </c>
      <c r="J32" s="46"/>
      <c r="K32" s="46"/>
      <c r="L32" s="46"/>
    </row>
    <row r="33" spans="1:12" ht="13.5" thickBot="1" x14ac:dyDescent="0.25">
      <c r="A33" s="34">
        <f>'Fernandez-Moya'!B29</f>
        <v>48.832999999999998</v>
      </c>
      <c r="B33" s="4">
        <f t="shared" si="0"/>
        <v>0.40081157340919404</v>
      </c>
      <c r="C33" s="35">
        <f t="shared" si="1"/>
        <v>11.003761620222113</v>
      </c>
      <c r="D33" s="36">
        <f t="shared" si="2"/>
        <v>-0.11696723217371176</v>
      </c>
      <c r="E33" s="37">
        <v>12</v>
      </c>
      <c r="F33" s="52">
        <v>1</v>
      </c>
      <c r="G33" s="53">
        <f t="array" ref="G33:I35">MMULT(G23:S25,B22:D34)</f>
        <v>0.54997588868861613</v>
      </c>
      <c r="H33" s="54">
        <v>14.192330264715229</v>
      </c>
      <c r="I33" s="55">
        <v>-0.18543825342711928</v>
      </c>
      <c r="J33" s="48"/>
      <c r="K33" s="48"/>
      <c r="L33" s="48"/>
    </row>
    <row r="34" spans="1:12" ht="13.5" thickBot="1" x14ac:dyDescent="0.25">
      <c r="A34" s="34">
        <f>'Fernandez-Moya'!B30</f>
        <v>53.283000000000001</v>
      </c>
      <c r="B34" s="4">
        <f t="shared" ref="B34" si="3">Q_LA($C$3,$C$4,$C$5,A34,$I$7)</f>
        <v>0.54920936759168215</v>
      </c>
      <c r="C34" s="35">
        <f t="shared" ref="C34" si="4">Q_Lumax($C$3,$C$4,$C$5,A34,$I$8)</f>
        <v>8.7441649553111969</v>
      </c>
      <c r="D34" s="36">
        <f t="shared" ref="D34" si="5">Q_Llameda($C$3,$C$4,$C$5,A34,$I$9)</f>
        <v>-7.9037873810416048E-2</v>
      </c>
      <c r="E34" s="37">
        <v>13</v>
      </c>
      <c r="F34" s="62">
        <v>2</v>
      </c>
      <c r="G34" s="56">
        <v>14.192330264715229</v>
      </c>
      <c r="H34" s="57">
        <v>640.68419917607389</v>
      </c>
      <c r="I34" s="58">
        <v>-9.9125313378494102</v>
      </c>
      <c r="J34" s="48"/>
      <c r="K34" s="48"/>
      <c r="L34" s="48"/>
    </row>
    <row r="35" spans="1:12" ht="13.5" thickBot="1" x14ac:dyDescent="0.25">
      <c r="A35" s="34"/>
      <c r="B35" s="4"/>
      <c r="C35" s="35"/>
      <c r="D35" s="36"/>
      <c r="E35" s="37">
        <v>14</v>
      </c>
      <c r="F35" s="63">
        <v>3</v>
      </c>
      <c r="G35" s="59">
        <v>-0.18543825342711928</v>
      </c>
      <c r="H35" s="60">
        <v>-9.9125313378494102</v>
      </c>
      <c r="I35" s="61">
        <v>0.23808356388238869</v>
      </c>
      <c r="J35" s="48"/>
      <c r="K35" s="48"/>
      <c r="L35" s="48"/>
    </row>
    <row r="36" spans="1:12" ht="13.5" thickBot="1" x14ac:dyDescent="0.25">
      <c r="A36" s="34"/>
      <c r="B36" s="4"/>
      <c r="C36" s="35"/>
      <c r="D36" s="36"/>
      <c r="E36" s="37">
        <v>15</v>
      </c>
      <c r="F36" s="46"/>
      <c r="G36" s="48"/>
      <c r="H36" s="48"/>
      <c r="I36" s="48"/>
      <c r="J36" s="48"/>
      <c r="K36" s="48"/>
      <c r="L36" s="48"/>
    </row>
    <row r="37" spans="1:12" ht="13.5" thickBot="1" x14ac:dyDescent="0.25">
      <c r="A37" s="34"/>
      <c r="B37" s="4"/>
      <c r="C37" s="35"/>
      <c r="D37" s="36"/>
      <c r="E37" s="37">
        <v>16</v>
      </c>
      <c r="F37" s="46"/>
      <c r="G37" s="48"/>
      <c r="H37" s="48"/>
      <c r="I37" s="48"/>
      <c r="J37" s="48"/>
      <c r="K37" s="48"/>
      <c r="L37" s="48"/>
    </row>
    <row r="38" spans="1:12" ht="13.5" thickBot="1" x14ac:dyDescent="0.25">
      <c r="A38" s="34"/>
      <c r="B38" s="4"/>
      <c r="C38" s="35"/>
      <c r="D38" s="36"/>
      <c r="E38" s="37">
        <v>17</v>
      </c>
      <c r="F38" s="46"/>
      <c r="G38" s="48"/>
      <c r="H38" s="48"/>
      <c r="I38" s="48"/>
      <c r="J38" s="48"/>
      <c r="K38" s="48"/>
      <c r="L38" s="48"/>
    </row>
    <row r="39" spans="1:12" ht="13.5" thickBot="1" x14ac:dyDescent="0.25">
      <c r="A39" s="34"/>
      <c r="B39" s="4"/>
      <c r="C39" s="35"/>
      <c r="D39" s="36"/>
      <c r="E39" s="37">
        <v>18</v>
      </c>
    </row>
    <row r="40" spans="1:12" ht="13.5" thickBot="1" x14ac:dyDescent="0.25">
      <c r="A40" s="34"/>
      <c r="B40" s="4"/>
      <c r="C40" s="35"/>
      <c r="D40" s="36"/>
      <c r="E40" s="37">
        <v>19</v>
      </c>
      <c r="K40" s="64"/>
      <c r="L40" s="64"/>
    </row>
    <row r="41" spans="1:12" ht="13.5" thickBot="1" x14ac:dyDescent="0.25">
      <c r="A41" s="34"/>
      <c r="B41" s="4"/>
      <c r="C41" s="35"/>
      <c r="D41" s="36"/>
      <c r="E41" s="37">
        <v>20</v>
      </c>
      <c r="F41" s="65" t="s">
        <v>17</v>
      </c>
      <c r="G41" s="66"/>
      <c r="J41" s="67"/>
      <c r="K41" s="64"/>
      <c r="L41" s="64"/>
    </row>
    <row r="42" spans="1:12" ht="13.5" thickBot="1" x14ac:dyDescent="0.25">
      <c r="A42" s="34"/>
      <c r="B42" s="4"/>
      <c r="C42" s="35"/>
      <c r="D42" s="36"/>
      <c r="E42" s="37">
        <v>21</v>
      </c>
      <c r="G42" s="68">
        <v>1</v>
      </c>
      <c r="H42" s="65">
        <v>2</v>
      </c>
      <c r="I42" s="69">
        <v>3</v>
      </c>
      <c r="J42" s="70"/>
      <c r="K42" s="70"/>
      <c r="L42" s="70"/>
    </row>
    <row r="43" spans="1:12" ht="13.5" thickBot="1" x14ac:dyDescent="0.25">
      <c r="A43" s="34"/>
      <c r="B43" s="4"/>
      <c r="C43" s="35"/>
      <c r="D43" s="36"/>
      <c r="E43" s="37">
        <v>22</v>
      </c>
      <c r="F43" s="71">
        <v>1</v>
      </c>
      <c r="G43" s="72">
        <f t="array" ref="G43:I45">MINVERSE(G33:I35)</f>
        <v>4.5079564022900556</v>
      </c>
      <c r="H43" s="73">
        <v>-0.12796782746781032</v>
      </c>
      <c r="I43" s="74">
        <v>-1.8167467387987246</v>
      </c>
      <c r="J43" s="67"/>
      <c r="K43" s="67"/>
      <c r="L43" s="67"/>
    </row>
    <row r="44" spans="1:12" ht="13.5" thickBot="1" x14ac:dyDescent="0.25">
      <c r="A44" s="34"/>
      <c r="B44" s="4"/>
      <c r="C44" s="35"/>
      <c r="D44" s="36"/>
      <c r="E44" s="37">
        <v>23</v>
      </c>
      <c r="F44" s="79">
        <v>2</v>
      </c>
      <c r="G44" s="75">
        <v>-0.12796782746781027</v>
      </c>
      <c r="H44" s="76">
        <v>8.0190011453701981E-3</v>
      </c>
      <c r="I44" s="77">
        <v>0.23419705594957804</v>
      </c>
      <c r="J44" s="67"/>
      <c r="K44" s="67"/>
      <c r="L44" s="67"/>
    </row>
    <row r="45" spans="1:12" ht="13.5" thickBot="1" x14ac:dyDescent="0.25">
      <c r="A45" s="34"/>
      <c r="B45" s="4"/>
      <c r="C45" s="35"/>
      <c r="D45" s="36"/>
      <c r="E45" s="37">
        <v>24</v>
      </c>
      <c r="F45" s="79">
        <v>3</v>
      </c>
      <c r="G45" s="75">
        <v>-1.8167467387987255</v>
      </c>
      <c r="H45" s="76">
        <v>0.23419705594957801</v>
      </c>
      <c r="I45" s="78">
        <v>12.535898175837023</v>
      </c>
      <c r="J45" s="67"/>
      <c r="K45" s="67"/>
      <c r="L45" s="67"/>
    </row>
    <row r="46" spans="1:12" ht="13.5" thickBot="1" x14ac:dyDescent="0.25">
      <c r="A46" s="34"/>
      <c r="B46" s="4"/>
      <c r="C46" s="35"/>
      <c r="D46" s="36"/>
      <c r="E46" s="37">
        <v>25</v>
      </c>
      <c r="F46" s="44"/>
      <c r="G46" s="80"/>
      <c r="H46" s="80"/>
      <c r="I46" s="80"/>
      <c r="J46" s="48"/>
      <c r="K46" s="48"/>
      <c r="L46" s="48"/>
    </row>
    <row r="47" spans="1:12" ht="13.5" thickBot="1" x14ac:dyDescent="0.25">
      <c r="A47" s="34"/>
      <c r="B47" s="4"/>
      <c r="C47" s="35"/>
      <c r="D47" s="36"/>
      <c r="E47" s="37">
        <v>26</v>
      </c>
      <c r="F47" s="70"/>
      <c r="G47" s="48"/>
      <c r="H47" s="48"/>
      <c r="I47" s="48"/>
      <c r="J47" s="48"/>
      <c r="K47" s="48"/>
      <c r="L47" s="48"/>
    </row>
    <row r="48" spans="1:12" ht="13.5" thickBot="1" x14ac:dyDescent="0.25">
      <c r="A48" s="34"/>
      <c r="B48" s="4"/>
      <c r="C48" s="35"/>
      <c r="D48" s="36"/>
      <c r="E48" s="37">
        <v>27</v>
      </c>
      <c r="F48" s="70"/>
      <c r="G48" s="48"/>
      <c r="H48" s="48"/>
      <c r="I48" s="48"/>
      <c r="J48" s="48"/>
      <c r="K48" s="48"/>
      <c r="L48" s="48"/>
    </row>
    <row r="49" spans="1:7" ht="13.5" thickBot="1" x14ac:dyDescent="0.25">
      <c r="A49" s="34"/>
      <c r="B49" s="4"/>
      <c r="C49" s="35"/>
      <c r="D49" s="36"/>
      <c r="E49" s="37">
        <v>28</v>
      </c>
    </row>
    <row r="50" spans="1:7" s="4" customFormat="1" ht="13.5" thickBot="1" x14ac:dyDescent="0.25">
      <c r="A50" s="34"/>
      <c r="C50" s="35"/>
      <c r="D50" s="36"/>
      <c r="E50" s="37">
        <v>29</v>
      </c>
    </row>
    <row r="51" spans="1:7" s="4" customFormat="1" ht="13.5" thickBot="1" x14ac:dyDescent="0.25">
      <c r="A51" s="34"/>
      <c r="C51" s="35"/>
      <c r="D51" s="36"/>
      <c r="E51" s="37">
        <v>30</v>
      </c>
    </row>
    <row r="52" spans="1:7" s="4" customFormat="1" ht="13.5" thickBot="1" x14ac:dyDescent="0.25">
      <c r="A52" s="34"/>
      <c r="C52" s="35"/>
      <c r="D52" s="36"/>
      <c r="E52" s="37">
        <v>31</v>
      </c>
      <c r="G52" s="81"/>
    </row>
    <row r="53" spans="1:7" s="4" customFormat="1" ht="13.5" thickBot="1" x14ac:dyDescent="0.25">
      <c r="A53" s="34"/>
      <c r="C53" s="35"/>
      <c r="D53" s="36"/>
      <c r="E53" s="37">
        <v>32</v>
      </c>
    </row>
    <row r="54" spans="1:7" s="4" customFormat="1" ht="13.5" thickBot="1" x14ac:dyDescent="0.25">
      <c r="A54" s="34"/>
      <c r="C54" s="35"/>
      <c r="D54" s="36"/>
      <c r="E54" s="37">
        <v>33</v>
      </c>
    </row>
    <row r="55" spans="1:7" s="4" customFormat="1" ht="13.5" thickBot="1" x14ac:dyDescent="0.25">
      <c r="A55" s="34"/>
      <c r="C55" s="35"/>
      <c r="D55" s="36"/>
      <c r="E55" s="37">
        <v>34</v>
      </c>
    </row>
    <row r="56" spans="1:7" s="4" customFormat="1" ht="13.5" thickBot="1" x14ac:dyDescent="0.25">
      <c r="A56" s="34"/>
      <c r="C56" s="35"/>
      <c r="D56" s="36"/>
      <c r="E56" s="37">
        <v>35</v>
      </c>
    </row>
    <row r="57" spans="1:7" s="4" customFormat="1" ht="13.5" thickBot="1" x14ac:dyDescent="0.25">
      <c r="A57" s="34"/>
      <c r="C57" s="35"/>
      <c r="D57" s="36"/>
      <c r="E57" s="37">
        <v>36</v>
      </c>
    </row>
    <row r="58" spans="1:7" s="4" customFormat="1" ht="13.5" thickBot="1" x14ac:dyDescent="0.25">
      <c r="A58" s="34"/>
      <c r="C58" s="35"/>
      <c r="D58" s="36"/>
      <c r="E58" s="37">
        <v>37</v>
      </c>
    </row>
    <row r="59" spans="1:7" s="4" customFormat="1" ht="13.5" thickBot="1" x14ac:dyDescent="0.25">
      <c r="A59" s="34"/>
      <c r="C59" s="35"/>
      <c r="D59" s="36"/>
      <c r="E59" s="37">
        <v>38</v>
      </c>
    </row>
    <row r="60" spans="1:7" s="4" customFormat="1" ht="13.5" thickBot="1" x14ac:dyDescent="0.25">
      <c r="A60" s="34"/>
      <c r="C60" s="35"/>
      <c r="D60" s="36"/>
      <c r="E60" s="37">
        <v>39</v>
      </c>
    </row>
    <row r="61" spans="1:7" s="4" customFormat="1" ht="13.5" thickBot="1" x14ac:dyDescent="0.25">
      <c r="A61" s="34"/>
      <c r="C61" s="35"/>
      <c r="D61" s="36"/>
      <c r="E61" s="37">
        <v>40</v>
      </c>
    </row>
    <row r="62" spans="1:7" ht="13.5" thickBot="1" x14ac:dyDescent="0.25">
      <c r="A62" s="34"/>
      <c r="B62" s="4"/>
      <c r="C62" s="35"/>
      <c r="D62" s="36"/>
      <c r="E62" s="37">
        <v>41</v>
      </c>
    </row>
    <row r="63" spans="1:7" ht="13.5" thickBot="1" x14ac:dyDescent="0.25">
      <c r="A63" s="34"/>
      <c r="B63" s="4"/>
      <c r="C63" s="35"/>
      <c r="D63" s="36"/>
      <c r="E63" s="37">
        <v>42</v>
      </c>
    </row>
    <row r="64" spans="1:7" ht="13.5" thickBot="1" x14ac:dyDescent="0.25">
      <c r="A64" s="34"/>
      <c r="B64" s="4"/>
      <c r="C64" s="35"/>
      <c r="D64" s="36"/>
      <c r="E64" s="37">
        <v>43</v>
      </c>
    </row>
    <row r="65" spans="1:5" ht="13.5" thickBot="1" x14ac:dyDescent="0.25">
      <c r="A65" s="34"/>
      <c r="B65" s="4"/>
      <c r="C65" s="35"/>
      <c r="D65" s="36"/>
      <c r="E65" s="37">
        <v>44</v>
      </c>
    </row>
    <row r="66" spans="1:5" ht="13.5" thickBot="1" x14ac:dyDescent="0.25">
      <c r="A66" s="34"/>
      <c r="B66" s="4"/>
      <c r="C66" s="35"/>
      <c r="D66" s="36"/>
      <c r="E66" s="37">
        <v>45</v>
      </c>
    </row>
    <row r="67" spans="1:5" ht="13.5" thickBot="1" x14ac:dyDescent="0.25">
      <c r="A67" s="34"/>
      <c r="B67" s="4"/>
      <c r="C67" s="35"/>
      <c r="D67" s="36"/>
      <c r="E67" s="37">
        <v>46</v>
      </c>
    </row>
    <row r="68" spans="1:5" ht="13.5" thickBot="1" x14ac:dyDescent="0.25">
      <c r="A68" s="34"/>
      <c r="B68" s="4"/>
      <c r="C68" s="35"/>
      <c r="D68" s="36"/>
      <c r="E68" s="37">
        <v>47</v>
      </c>
    </row>
    <row r="69" spans="1:5" ht="13.5" thickBot="1" x14ac:dyDescent="0.25">
      <c r="A69" s="34"/>
      <c r="B69" s="4"/>
      <c r="C69" s="35"/>
      <c r="D69" s="36"/>
      <c r="E69" s="37">
        <v>48</v>
      </c>
    </row>
    <row r="70" spans="1:5" ht="13.5" thickBot="1" x14ac:dyDescent="0.25">
      <c r="A70" s="34"/>
      <c r="B70" s="4"/>
      <c r="C70" s="35"/>
      <c r="D70" s="36"/>
      <c r="E70" s="37">
        <v>49</v>
      </c>
    </row>
    <row r="71" spans="1:5" ht="13.5" thickBot="1" x14ac:dyDescent="0.25">
      <c r="A71" s="34"/>
      <c r="B71" s="4"/>
      <c r="C71" s="35"/>
      <c r="D71" s="36"/>
      <c r="E71" s="37">
        <v>50</v>
      </c>
    </row>
    <row r="72" spans="1:5" ht="13.5" thickBot="1" x14ac:dyDescent="0.25">
      <c r="A72" s="34"/>
      <c r="B72" s="4"/>
      <c r="C72" s="35"/>
      <c r="D72" s="36"/>
      <c r="E72" s="37">
        <v>51</v>
      </c>
    </row>
    <row r="73" spans="1:5" x14ac:dyDescent="0.2">
      <c r="A73" s="34"/>
      <c r="B73" s="4"/>
      <c r="C73" s="35"/>
      <c r="D73" s="36"/>
      <c r="E73" s="37">
        <v>52</v>
      </c>
    </row>
  </sheetData>
  <mergeCells count="2">
    <mergeCell ref="F21:G21"/>
    <mergeCell ref="F31:G31"/>
  </mergeCells>
  <pageMargins left="0.75" right="0.75" top="1" bottom="1" header="0" footer="0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29</vt:i4>
      </vt:variant>
    </vt:vector>
  </HeadingPairs>
  <TitlesOfParts>
    <vt:vector size="29" baseType="lpstr">
      <vt:lpstr>183</vt:lpstr>
      <vt:lpstr>ERROS_183</vt:lpstr>
      <vt:lpstr>1202</vt:lpstr>
      <vt:lpstr>ERROS_1202</vt:lpstr>
      <vt:lpstr>1239</vt:lpstr>
      <vt:lpstr>ERROS_1239</vt:lpstr>
      <vt:lpstr>1255</vt:lpstr>
      <vt:lpstr>ERROS_1255</vt:lpstr>
      <vt:lpstr>1257</vt:lpstr>
      <vt:lpstr>ERROS_1257</vt:lpstr>
      <vt:lpstr>1257 (2)</vt:lpstr>
      <vt:lpstr>ERROS_1257 (2)</vt:lpstr>
      <vt:lpstr>1257 (4)</vt:lpstr>
      <vt:lpstr>ERROS_1257 (3)</vt:lpstr>
      <vt:lpstr>1257 (3)</vt:lpstr>
      <vt:lpstr>183 (Opt)</vt:lpstr>
      <vt:lpstr>ERROS_183 (Opt)</vt:lpstr>
      <vt:lpstr>1309 (Opt)</vt:lpstr>
      <vt:lpstr>ERROS_1309 (Opt)</vt:lpstr>
      <vt:lpstr>1303 (Opt)</vt:lpstr>
      <vt:lpstr>ERROS_1303 (Opt)</vt:lpstr>
      <vt:lpstr>1290 (Opt)</vt:lpstr>
      <vt:lpstr>ERROS_1209 (Opt)</vt:lpstr>
      <vt:lpstr>1255 (Opt)</vt:lpstr>
      <vt:lpstr>ERROS_1255 (Opt)</vt:lpstr>
      <vt:lpstr>1257 (Opt)</vt:lpstr>
      <vt:lpstr>ERROS_1257 (Opt)</vt:lpstr>
      <vt:lpstr>Fernandez-Moya</vt:lpstr>
      <vt:lpstr>ERROS_Fernandez-Moya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portatil</dc:creator>
  <cp:lastModifiedBy>Tatiana</cp:lastModifiedBy>
  <cp:lastPrinted>2012-04-17T13:04:18Z</cp:lastPrinted>
  <dcterms:created xsi:type="dcterms:W3CDTF">2004-11-18T09:31:32Z</dcterms:created>
  <dcterms:modified xsi:type="dcterms:W3CDTF">2022-06-01T09:17:10Z</dcterms:modified>
</cp:coreProperties>
</file>